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Data\Devangna Jadeja\Downloads\"/>
    </mc:Choice>
  </mc:AlternateContent>
  <xr:revisionPtr revIDLastSave="0" documentId="13_ncr:1_{9795838F-102E-4CB2-8BC9-60B762B6F8C6}" xr6:coauthVersionLast="47" xr6:coauthVersionMax="47" xr10:uidLastSave="{00000000-0000-0000-0000-000000000000}"/>
  <bookViews>
    <workbookView xWindow="-110" yWindow="-110" windowWidth="19420" windowHeight="10300" activeTab="3" xr2:uid="{231F5A9B-67AF-40C8-9BF3-D86A96EAC660}"/>
  </bookViews>
  <sheets>
    <sheet name="Company Info" sheetId="1" r:id="rId1"/>
    <sheet name="Scope 1 &amp; 2 GHG Factors" sheetId="2" r:id="rId2"/>
    <sheet name="GHG Calc" sheetId="3" r:id="rId3"/>
    <sheet name="Overall" sheetId="4"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5" i="4"/>
  <c r="C6" i="4"/>
  <c r="C7" i="4"/>
  <c r="C8" i="4"/>
  <c r="C3" i="4" l="1"/>
  <c r="B2" i="4"/>
  <c r="B8" i="4"/>
  <c r="B7" i="4"/>
  <c r="B6" i="4"/>
  <c r="B5" i="4"/>
  <c r="B4" i="4"/>
  <c r="B3" i="4"/>
  <c r="E34" i="3"/>
  <c r="E33" i="3"/>
  <c r="C33" i="3"/>
  <c r="E32" i="3"/>
  <c r="C32" i="3"/>
  <c r="E31" i="3"/>
  <c r="C31" i="3"/>
  <c r="C30" i="3"/>
  <c r="E28" i="3"/>
  <c r="E27" i="3"/>
  <c r="C27" i="3"/>
  <c r="C26" i="3"/>
  <c r="E18" i="3"/>
  <c r="E17" i="3"/>
  <c r="C17" i="3"/>
  <c r="E16" i="3"/>
  <c r="F16" i="3" s="1"/>
  <c r="G16" i="3" s="1"/>
  <c r="C16" i="3"/>
  <c r="C15" i="3"/>
  <c r="E13" i="3"/>
  <c r="E12" i="3"/>
  <c r="C12" i="3"/>
  <c r="E11" i="3"/>
  <c r="F11" i="3" s="1"/>
  <c r="G11" i="3" s="1"/>
  <c r="C11" i="3"/>
  <c r="E10" i="3"/>
  <c r="C10" i="3"/>
  <c r="E9" i="3"/>
  <c r="C9" i="3"/>
  <c r="C8" i="3"/>
  <c r="E5" i="3"/>
  <c r="E4" i="3"/>
  <c r="C4" i="3"/>
  <c r="F5" i="3" s="1"/>
  <c r="G5" i="3" s="1"/>
  <c r="C3" i="3"/>
  <c r="F4" i="3" s="1"/>
  <c r="G4" i="3" s="1"/>
  <c r="G6" i="3" s="1"/>
  <c r="C21" i="3" s="1"/>
  <c r="D83" i="2"/>
  <c r="E83" i="2" s="1"/>
  <c r="F83" i="2" s="1"/>
  <c r="G83" i="2" s="1"/>
  <c r="D82" i="2"/>
  <c r="E82" i="2" s="1"/>
  <c r="F82" i="2" s="1"/>
  <c r="G82" i="2" s="1"/>
  <c r="D81" i="2"/>
  <c r="E81" i="2" s="1"/>
  <c r="F81" i="2" s="1"/>
  <c r="G81" i="2" s="1"/>
  <c r="C78" i="2"/>
  <c r="D78" i="2" s="1"/>
  <c r="E78" i="2" s="1"/>
  <c r="F78" i="2" s="1"/>
  <c r="G78" i="2" s="1"/>
  <c r="E77" i="2"/>
  <c r="F77" i="2" s="1"/>
  <c r="G77" i="2" s="1"/>
  <c r="D77" i="2"/>
  <c r="C77" i="2"/>
  <c r="C76" i="2"/>
  <c r="D76" i="2" s="1"/>
  <c r="E76" i="2" s="1"/>
  <c r="F76" i="2" s="1"/>
  <c r="G76" i="2" s="1"/>
  <c r="C75" i="2"/>
  <c r="D75" i="2" s="1"/>
  <c r="E75" i="2" s="1"/>
  <c r="F75" i="2" s="1"/>
  <c r="G75" i="2" s="1"/>
  <c r="D74" i="2"/>
  <c r="E74" i="2" s="1"/>
  <c r="F74" i="2" s="1"/>
  <c r="G74" i="2" s="1"/>
  <c r="C74" i="2"/>
  <c r="C73" i="2"/>
  <c r="D73" i="2" s="1"/>
  <c r="E73" i="2" s="1"/>
  <c r="F73" i="2" s="1"/>
  <c r="G73" i="2" s="1"/>
  <c r="C72" i="2"/>
  <c r="D72" i="2" s="1"/>
  <c r="E72" i="2" s="1"/>
  <c r="F72" i="2" s="1"/>
  <c r="G72" i="2" s="1"/>
  <c r="C71" i="2"/>
  <c r="D71" i="2" s="1"/>
  <c r="E71" i="2" s="1"/>
  <c r="F71" i="2" s="1"/>
  <c r="G71" i="2" s="1"/>
  <c r="D70" i="2"/>
  <c r="E70" i="2" s="1"/>
  <c r="F70" i="2" s="1"/>
  <c r="G70" i="2" s="1"/>
  <c r="C70" i="2"/>
  <c r="C69" i="2"/>
  <c r="D69" i="2" s="1"/>
  <c r="E69" i="2" s="1"/>
  <c r="F69" i="2" s="1"/>
  <c r="G69" i="2" s="1"/>
  <c r="C68" i="2"/>
  <c r="D68" i="2" s="1"/>
  <c r="E68" i="2" s="1"/>
  <c r="F68" i="2" s="1"/>
  <c r="G68" i="2" s="1"/>
  <c r="C67" i="2"/>
  <c r="D67" i="2" s="1"/>
  <c r="E67" i="2" s="1"/>
  <c r="F67" i="2" s="1"/>
  <c r="G67" i="2" s="1"/>
  <c r="C66" i="2"/>
  <c r="D66" i="2" s="1"/>
  <c r="E66" i="2" s="1"/>
  <c r="F66" i="2" s="1"/>
  <c r="G66" i="2" s="1"/>
  <c r="C65" i="2"/>
  <c r="D65" i="2" s="1"/>
  <c r="E65" i="2" s="1"/>
  <c r="F65" i="2" s="1"/>
  <c r="G65" i="2" s="1"/>
  <c r="D63" i="2"/>
  <c r="E63" i="2" s="1"/>
  <c r="F63" i="2" s="1"/>
  <c r="G63" i="2" s="1"/>
  <c r="D62" i="2"/>
  <c r="E62" i="2" s="1"/>
  <c r="F62" i="2" s="1"/>
  <c r="G62" i="2" s="1"/>
  <c r="F61" i="2"/>
  <c r="G61" i="2" s="1"/>
  <c r="E61" i="2"/>
  <c r="D61" i="2"/>
  <c r="D60" i="2"/>
  <c r="E60" i="2" s="1"/>
  <c r="F60" i="2" s="1"/>
  <c r="G60" i="2" s="1"/>
  <c r="D59" i="2"/>
  <c r="E59" i="2" s="1"/>
  <c r="F59" i="2" s="1"/>
  <c r="G59" i="2" s="1"/>
  <c r="D58" i="2"/>
  <c r="E58" i="2" s="1"/>
  <c r="F58" i="2" s="1"/>
  <c r="G58" i="2" s="1"/>
  <c r="F57" i="2"/>
  <c r="G57" i="2" s="1"/>
  <c r="D57" i="2"/>
  <c r="E57" i="2" s="1"/>
  <c r="D56" i="2"/>
  <c r="E56" i="2" s="1"/>
  <c r="F56" i="2" s="1"/>
  <c r="G56" i="2" s="1"/>
  <c r="D55" i="2"/>
  <c r="E55" i="2" s="1"/>
  <c r="F55" i="2" s="1"/>
  <c r="G55" i="2" s="1"/>
  <c r="D54" i="2"/>
  <c r="E54" i="2" s="1"/>
  <c r="F54" i="2" s="1"/>
  <c r="G54" i="2" s="1"/>
  <c r="D53" i="2"/>
  <c r="E53" i="2" s="1"/>
  <c r="F53" i="2" s="1"/>
  <c r="G53" i="2" s="1"/>
  <c r="F52" i="2"/>
  <c r="G52" i="2" s="1"/>
  <c r="E52" i="2"/>
  <c r="D52" i="2"/>
  <c r="D51" i="2"/>
  <c r="E51" i="2" s="1"/>
  <c r="F51" i="2" s="1"/>
  <c r="G51" i="2" s="1"/>
  <c r="D50" i="2"/>
  <c r="E50" i="2" s="1"/>
  <c r="F50" i="2" s="1"/>
  <c r="G50" i="2" s="1"/>
  <c r="D49" i="2"/>
  <c r="E49" i="2" s="1"/>
  <c r="F49" i="2" s="1"/>
  <c r="G49" i="2" s="1"/>
  <c r="F48" i="2"/>
  <c r="G48" i="2" s="1"/>
  <c r="D48" i="2"/>
  <c r="E48" i="2" s="1"/>
  <c r="D47" i="2"/>
  <c r="E47" i="2" s="1"/>
  <c r="F47" i="2" s="1"/>
  <c r="G47" i="2" s="1"/>
  <c r="D46" i="2"/>
  <c r="E46" i="2" s="1"/>
  <c r="F46" i="2" s="1"/>
  <c r="G46" i="2" s="1"/>
  <c r="D45" i="2"/>
  <c r="E45" i="2" s="1"/>
  <c r="F45" i="2" s="1"/>
  <c r="G45" i="2" s="1"/>
  <c r="D44" i="2"/>
  <c r="E44" i="2" s="1"/>
  <c r="F44" i="2" s="1"/>
  <c r="G44" i="2" s="1"/>
  <c r="F43" i="2"/>
  <c r="G43" i="2" s="1"/>
  <c r="E43" i="2"/>
  <c r="D43" i="2"/>
  <c r="D42" i="2"/>
  <c r="E42" i="2" s="1"/>
  <c r="F42" i="2" s="1"/>
  <c r="G42" i="2" s="1"/>
  <c r="D41" i="2"/>
  <c r="E41" i="2" s="1"/>
  <c r="F41" i="2" s="1"/>
  <c r="G41" i="2" s="1"/>
  <c r="D40" i="2"/>
  <c r="E40" i="2" s="1"/>
  <c r="F40" i="2" s="1"/>
  <c r="G40" i="2" s="1"/>
  <c r="F39" i="2"/>
  <c r="G39" i="2" s="1"/>
  <c r="D39" i="2"/>
  <c r="E39" i="2" s="1"/>
  <c r="D38" i="2"/>
  <c r="E38" i="2" s="1"/>
  <c r="F38" i="2" s="1"/>
  <c r="G38" i="2" s="1"/>
  <c r="D37" i="2"/>
  <c r="E37" i="2" s="1"/>
  <c r="F37" i="2" s="1"/>
  <c r="G37" i="2" s="1"/>
  <c r="D36" i="2"/>
  <c r="E36" i="2" s="1"/>
  <c r="F36" i="2" s="1"/>
  <c r="G36" i="2" s="1"/>
  <c r="D35" i="2"/>
  <c r="E35" i="2" s="1"/>
  <c r="F35" i="2" s="1"/>
  <c r="G35" i="2" s="1"/>
  <c r="D34" i="2"/>
  <c r="E34" i="2" s="1"/>
  <c r="F34" i="2" s="1"/>
  <c r="G34" i="2" s="1"/>
  <c r="D33" i="2"/>
  <c r="E33" i="2" s="1"/>
  <c r="F33" i="2" s="1"/>
  <c r="G33" i="2" s="1"/>
  <c r="D32" i="2"/>
  <c r="E32" i="2" s="1"/>
  <c r="F32" i="2" s="1"/>
  <c r="G32" i="2" s="1"/>
  <c r="D31" i="2"/>
  <c r="E31" i="2" s="1"/>
  <c r="F31" i="2" s="1"/>
  <c r="G31" i="2" s="1"/>
  <c r="D30" i="2"/>
  <c r="E30" i="2" s="1"/>
  <c r="F30" i="2" s="1"/>
  <c r="G30" i="2" s="1"/>
  <c r="D29" i="2"/>
  <c r="E29" i="2" s="1"/>
  <c r="F29" i="2" s="1"/>
  <c r="G29" i="2" s="1"/>
  <c r="D28" i="2"/>
  <c r="E28" i="2" s="1"/>
  <c r="F28" i="2" s="1"/>
  <c r="G28" i="2" s="1"/>
  <c r="D27" i="2"/>
  <c r="E27" i="2" s="1"/>
  <c r="F27" i="2" s="1"/>
  <c r="G27" i="2" s="1"/>
  <c r="E26" i="2"/>
  <c r="F26" i="2" s="1"/>
  <c r="G26" i="2" s="1"/>
  <c r="D26" i="2"/>
  <c r="D25" i="2"/>
  <c r="E25" i="2" s="1"/>
  <c r="F25" i="2" s="1"/>
  <c r="G25" i="2" s="1"/>
  <c r="D24" i="2"/>
  <c r="E24" i="2" s="1"/>
  <c r="F24" i="2" s="1"/>
  <c r="G24" i="2" s="1"/>
  <c r="D23" i="2"/>
  <c r="E23" i="2" s="1"/>
  <c r="F23" i="2" s="1"/>
  <c r="G23" i="2" s="1"/>
  <c r="D22" i="2"/>
  <c r="E22" i="2" s="1"/>
  <c r="F22" i="2" s="1"/>
  <c r="G22" i="2" s="1"/>
  <c r="D21" i="2"/>
  <c r="E21" i="2" s="1"/>
  <c r="F21" i="2" s="1"/>
  <c r="G21" i="2" s="1"/>
  <c r="D20" i="2"/>
  <c r="E20" i="2" s="1"/>
  <c r="F20" i="2" s="1"/>
  <c r="G20" i="2" s="1"/>
  <c r="D19" i="2"/>
  <c r="E19" i="2" s="1"/>
  <c r="F19" i="2" s="1"/>
  <c r="G19" i="2" s="1"/>
  <c r="D18" i="2"/>
  <c r="E18" i="2" s="1"/>
  <c r="F18" i="2" s="1"/>
  <c r="G18" i="2" s="1"/>
  <c r="D17" i="2"/>
  <c r="E17" i="2" s="1"/>
  <c r="F17" i="2" s="1"/>
  <c r="G17" i="2" s="1"/>
  <c r="D16" i="2"/>
  <c r="E16" i="2" s="1"/>
  <c r="F16" i="2" s="1"/>
  <c r="G16" i="2" s="1"/>
  <c r="E16" i="1"/>
  <c r="B9" i="4" l="1"/>
  <c r="C2" i="4" s="1"/>
  <c r="F27" i="3"/>
  <c r="G27" i="3" s="1"/>
  <c r="G31" i="3"/>
  <c r="G32" i="3"/>
  <c r="F17" i="3"/>
  <c r="G17" i="3" s="1"/>
  <c r="G19" i="3" s="1"/>
  <c r="G33" i="3"/>
  <c r="F12" i="3"/>
  <c r="G12" i="3" s="1"/>
  <c r="F28" i="3"/>
  <c r="G28" i="3" s="1"/>
  <c r="F13" i="3"/>
  <c r="G13" i="3" s="1"/>
  <c r="F9" i="3"/>
  <c r="G9" i="3" s="1"/>
  <c r="G14" i="3" s="1"/>
  <c r="C22" i="3" s="1"/>
  <c r="C23" i="3" s="1"/>
  <c r="G25" i="3" s="1"/>
  <c r="F10" i="3"/>
  <c r="G10" i="3" s="1"/>
  <c r="F18" i="3"/>
  <c r="G18" i="3" s="1"/>
  <c r="G34" i="3"/>
  <c r="G35" i="3" l="1"/>
  <c r="G29" i="3"/>
</calcChain>
</file>

<file path=xl/sharedStrings.xml><?xml version="1.0" encoding="utf-8"?>
<sst xmlns="http://schemas.openxmlformats.org/spreadsheetml/2006/main" count="251" uniqueCount="184">
  <si>
    <t>Organizational Profile: Surf Corporation</t>
  </si>
  <si>
    <t xml:space="preserve">Sector: </t>
  </si>
  <si>
    <t>Consumer Products</t>
  </si>
  <si>
    <t>Company Overview:</t>
  </si>
  <si>
    <t>Orginally founded in 1947 as the Surfactant Chemical Company, today Surf Corporation is a global consumer products company headquartered in Easton, Delaware providing personal and home cleaning products in over 100 countries.</t>
  </si>
  <si>
    <t>Annual Revenue:</t>
  </si>
  <si>
    <t>$10.8B USD</t>
  </si>
  <si>
    <t>Company Values:</t>
  </si>
  <si>
    <t>All We Do is based on our belief in: Quality Products - Healthier Lives - Responsible Growth</t>
  </si>
  <si>
    <t>Sustainability Strategic Framework:</t>
  </si>
  <si>
    <t>Growth - Health - Environment</t>
  </si>
  <si>
    <t>Sustainability Culture:</t>
  </si>
  <si>
    <t xml:space="preserve">Long-standing CSR programs focused on community outreach and health.  Minimal environmental programs beyond regulatory compliance and facility energy reduction.  </t>
  </si>
  <si>
    <t>Key Sustainability Risks:</t>
  </si>
  <si>
    <t>Water: all products require use of water to formulate, manufacture and use</t>
  </si>
  <si>
    <t>Key Sustainability Drivers:</t>
  </si>
  <si>
    <t>Increased awareness and interest by the company's main customers and consumers, as well as NGO and investor inquiries has increased the profile of sustainability with the company's Board of Directors and Senior Management team.</t>
  </si>
  <si>
    <t>General Operational Data</t>
  </si>
  <si>
    <t># full time employees</t>
  </si>
  <si>
    <t>Annual Production</t>
  </si>
  <si>
    <t>Approx. 3.5M metric tonnes</t>
  </si>
  <si>
    <t># manufacturing facilities</t>
  </si>
  <si>
    <t>Facilities owned (sq feet)</t>
  </si>
  <si>
    <t>Facilities leased (sq feet)</t>
  </si>
  <si>
    <t xml:space="preserve">Percent of In-House Manufacturing </t>
  </si>
  <si>
    <t>Commute</t>
  </si>
  <si>
    <t>Survey shows each employee commutes an average of 2,941 miles in a year (passenger car as mode of transportation assumed)</t>
  </si>
  <si>
    <t>Indirect emissions coming from fuel and energy-related activities account for approximately 10% of the total of scope 1 and 2 emissions combined.</t>
  </si>
  <si>
    <t>Annual investment in capital goods and other building equipment</t>
  </si>
  <si>
    <t>$1B</t>
  </si>
  <si>
    <t xml:space="preserve">Purchased Goods &amp; Services (spend in USD):                                </t>
  </si>
  <si>
    <t>Emissions Factors (EFs)</t>
  </si>
  <si>
    <t xml:space="preserve"> - Chemical Raw Materials (Petrochemicals)</t>
  </si>
  <si>
    <t>USD</t>
  </si>
  <si>
    <t>kgCO2e/USD</t>
  </si>
  <si>
    <t xml:space="preserve"> - Machinary (Indusr Machines &amp; Equip)</t>
  </si>
  <si>
    <t xml:space="preserve"> - Real Estate </t>
  </si>
  <si>
    <t>e</t>
  </si>
  <si>
    <t>Business Travel: Air and Car</t>
  </si>
  <si>
    <t xml:space="preserve"> - Air Travel</t>
  </si>
  <si>
    <t>miles</t>
  </si>
  <si>
    <t>kgCO2e/mile</t>
  </si>
  <si>
    <t>- Car Travel</t>
  </si>
  <si>
    <t>Annual Energy Usage</t>
  </si>
  <si>
    <t>Natural Gas</t>
  </si>
  <si>
    <t>m3/yr</t>
  </si>
  <si>
    <t>Diesel Fuel</t>
  </si>
  <si>
    <t>litres/yr</t>
  </si>
  <si>
    <t>Electricity - by country</t>
  </si>
  <si>
    <t>China</t>
  </si>
  <si>
    <t>MWh/yr</t>
  </si>
  <si>
    <t>Mexico</t>
  </si>
  <si>
    <t>USA (Texas)</t>
  </si>
  <si>
    <t>France</t>
  </si>
  <si>
    <t>South Africa</t>
  </si>
  <si>
    <t>* Indirect emissions coming from fuel and energy-related activities account for approximately 10% of the total of scope 1 and 2 emissions combined.</t>
  </si>
  <si>
    <t>General Product Portfolio Mix</t>
  </si>
  <si>
    <t>Consumer Use Volume</t>
  </si>
  <si>
    <t>Emission Factors (EF) kgCO2e/MT</t>
  </si>
  <si>
    <t>Soap &amp; Shampoo</t>
  </si>
  <si>
    <t>MT/yr</t>
  </si>
  <si>
    <t>MT CO2e/MT product</t>
  </si>
  <si>
    <t>Laundry Detergent</t>
  </si>
  <si>
    <t>Dish Soap</t>
  </si>
  <si>
    <t>Floor Cleaners</t>
  </si>
  <si>
    <t>Direct Emissions factors from Fuel Usage (Scope 1)</t>
  </si>
  <si>
    <t>Energy Type (unit)</t>
  </si>
  <si>
    <t>CO2 Factor (kg CO2e/unit)</t>
  </si>
  <si>
    <t>Anthracite Coal (kg)</t>
  </si>
  <si>
    <t>Bituminous Coal (kg)</t>
  </si>
  <si>
    <t>Diesel Oil (litres)</t>
  </si>
  <si>
    <t>LPG (kg)</t>
  </si>
  <si>
    <t>LPG (litres)</t>
  </si>
  <si>
    <t>Natural Gas (m3)</t>
  </si>
  <si>
    <t>Residual Oil (litres)</t>
  </si>
  <si>
    <t>Steam (kWh)</t>
  </si>
  <si>
    <t>Indirect Emissions factors by Country from Purchased Electricity (Scope 2) - CO2e per MWh of electricity</t>
  </si>
  <si>
    <t>Country/ Region</t>
  </si>
  <si>
    <t>Argentina</t>
  </si>
  <si>
    <t>Australia</t>
  </si>
  <si>
    <t>Belgium</t>
  </si>
  <si>
    <t>Brazil</t>
  </si>
  <si>
    <t>Cameroon</t>
  </si>
  <si>
    <t>Canada</t>
  </si>
  <si>
    <t>Chile</t>
  </si>
  <si>
    <t>Colombia</t>
  </si>
  <si>
    <t>Costa Rica</t>
  </si>
  <si>
    <t>Czech Republic</t>
  </si>
  <si>
    <t>Denmark</t>
  </si>
  <si>
    <t>Dominican Republic</t>
  </si>
  <si>
    <t>Ecuador</t>
  </si>
  <si>
    <t>El Salvador</t>
  </si>
  <si>
    <t>Germany</t>
  </si>
  <si>
    <t>Greece</t>
  </si>
  <si>
    <t>Guatemala</t>
  </si>
  <si>
    <t>Honduras</t>
  </si>
  <si>
    <t>Hong Kong</t>
  </si>
  <si>
    <t>Hungary</t>
  </si>
  <si>
    <t>India</t>
  </si>
  <si>
    <t>Ireland</t>
  </si>
  <si>
    <t>Italy</t>
  </si>
  <si>
    <t>Japan</t>
  </si>
  <si>
    <t>Malaysia</t>
  </si>
  <si>
    <t>Morocco</t>
  </si>
  <si>
    <t>Netherlands</t>
  </si>
  <si>
    <t>New Zealand</t>
  </si>
  <si>
    <t>Nicaragua</t>
  </si>
  <si>
    <t>Pakistan</t>
  </si>
  <si>
    <t>Panama</t>
  </si>
  <si>
    <t>Philippines</t>
  </si>
  <si>
    <t>Poland</t>
  </si>
  <si>
    <t>Portugal</t>
  </si>
  <si>
    <t>Romania</t>
  </si>
  <si>
    <t>Russian Federation</t>
  </si>
  <si>
    <t>Saudi Arabia</t>
  </si>
  <si>
    <t>Slovenia</t>
  </si>
  <si>
    <t>Spain</t>
  </si>
  <si>
    <t>Switzerland</t>
  </si>
  <si>
    <t>Thailand</t>
  </si>
  <si>
    <t>Turkey</t>
  </si>
  <si>
    <t>Ukraine</t>
  </si>
  <si>
    <t>United Kingdom</t>
  </si>
  <si>
    <t>United States eGRID regions</t>
  </si>
  <si>
    <t>SRSO - Georgia</t>
  </si>
  <si>
    <t>SRTV</t>
  </si>
  <si>
    <t>RFCE</t>
  </si>
  <si>
    <t xml:space="preserve">RFCW - Ohio </t>
  </si>
  <si>
    <t>NYCW</t>
  </si>
  <si>
    <t>ERCT - Texas</t>
  </si>
  <si>
    <t>SPNO - Kansas</t>
  </si>
  <si>
    <t>SPNO</t>
  </si>
  <si>
    <t>CAMX</t>
  </si>
  <si>
    <t>NEWE</t>
  </si>
  <si>
    <t>FRCC-Florida</t>
  </si>
  <si>
    <t>AZNM- Arizona</t>
  </si>
  <si>
    <t>Uruguay</t>
  </si>
  <si>
    <t>Venezuela</t>
  </si>
  <si>
    <t>Vietnam</t>
  </si>
  <si>
    <t>Source: IEA &amp; US EPA</t>
  </si>
  <si>
    <t>Scope 1,2,3 GHG Emissions Calculations Sheet</t>
  </si>
  <si>
    <t>Scope 1</t>
  </si>
  <si>
    <t xml:space="preserve">Manufacturing Facility Fuel Usage </t>
  </si>
  <si>
    <t xml:space="preserve">Natural gas </t>
  </si>
  <si>
    <t>Emission Factors (EF)</t>
  </si>
  <si>
    <t>Calculated CO2e Emissions (kg)</t>
  </si>
  <si>
    <t>Calculated CO2e Emissions (MT)</t>
  </si>
  <si>
    <t xml:space="preserve">Diesel fuel </t>
  </si>
  <si>
    <t>Scope 2</t>
  </si>
  <si>
    <t xml:space="preserve">Manufacturing Facility Electricity Usage </t>
  </si>
  <si>
    <t>Total Scope 1</t>
  </si>
  <si>
    <t>Electricity Use - by country</t>
  </si>
  <si>
    <t>Scope 3 - Cat 1</t>
  </si>
  <si>
    <t>Purchased Goods &amp; Services</t>
  </si>
  <si>
    <t>Total Scope 2</t>
  </si>
  <si>
    <t>Chem Raw Materials (Petro)</t>
  </si>
  <si>
    <t>Machinary</t>
  </si>
  <si>
    <t>Real Estate</t>
  </si>
  <si>
    <t>Scope 3 - Cat 3</t>
  </si>
  <si>
    <t>Fuel/Energy Activities</t>
  </si>
  <si>
    <t>Scope 3, Cat 1</t>
  </si>
  <si>
    <t>Assumes additional 10% emissions based on total Scope 1 &amp; 2 emissions</t>
  </si>
  <si>
    <t>MT</t>
  </si>
  <si>
    <t>Total</t>
  </si>
  <si>
    <t>factor</t>
  </si>
  <si>
    <t>Scope 3 - Cat 6</t>
  </si>
  <si>
    <t>Business Travel</t>
  </si>
  <si>
    <t>Scope 3, Cat 3</t>
  </si>
  <si>
    <t>Air Travel</t>
  </si>
  <si>
    <t>Emissions Factors (EFs) kgCO2e/mile</t>
  </si>
  <si>
    <t>Car Travel</t>
  </si>
  <si>
    <t>Scope 3 - Cat 11</t>
  </si>
  <si>
    <t>General Product Portfolio Mix*</t>
  </si>
  <si>
    <t>Scope 3, Cat 6</t>
  </si>
  <si>
    <t>Emission Factors (EF) MTCO2e/MT product</t>
  </si>
  <si>
    <t>Floor Cleaner</t>
  </si>
  <si>
    <t>Scope 3, Cat 11</t>
  </si>
  <si>
    <t>*Use product protfolio mix values for use of sold products calculations</t>
  </si>
  <si>
    <t>CO2 by Category</t>
  </si>
  <si>
    <t>Scope 3 Total</t>
  </si>
  <si>
    <t>Category 1 - Purchased Goods/Svc</t>
  </si>
  <si>
    <t>Category 3 - Fuel/Energy Related Activities</t>
  </si>
  <si>
    <t>Category 6 - Business Travel</t>
  </si>
  <si>
    <t>Category 11 - Use of Sold Products</t>
  </si>
  <si>
    <t>Total emissions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</si>
</sst>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
    <numFmt numFmtId="165" formatCode="0.0000"/>
    <numFmt numFmtId="166" formatCode="&quot;$&quot;#,##0_);[Red]\(&quot;$&quot;#,##0\)"/>
    <numFmt numFmtId="167" formatCode="\ * #,##0\ ;\ * \(#,##0\);\ * \-#\ ;\ @\ "/>
    <numFmt numFmtId="168" formatCode="0.0%"/>
    <numFmt numFmtId="169" formatCode="\ * #,##0.00\ ;\ * \(#,##0.00\);\ * \-#\ ;\ @\ "/>
  </numFmts>
  <fonts count="18" x14ac:knownFonts="1">
    <font>
      <sz val="11"/>
      <color theme="1"/>
      <name val="Aptos Narrow"/>
      <family val="2"/>
      <scheme val="minor"/>
    </font>
    <font>
      <b/>
      <sz val="14"/>
      <color rgb="FF000000"/>
      <name val="Calibri"/>
    </font>
    <font>
      <sz val="11"/>
      <color rgb="FF000000"/>
      <name val="Calibri"/>
    </font>
    <font>
      <b/>
      <sz val="12"/>
      <color rgb="FF000000"/>
      <name val="Calibri"/>
    </font>
    <font>
      <b/>
      <sz val="11"/>
      <color rgb="FF000000"/>
      <name val="Calibri"/>
    </font>
    <font>
      <sz val="11"/>
      <color theme="1"/>
      <name val="Aptos Narrow"/>
      <scheme val="minor"/>
    </font>
    <font>
      <b/>
      <sz val="10"/>
      <color rgb="FF000000"/>
      <name val="Arial"/>
    </font>
    <font>
      <sz val="8"/>
      <color rgb="FF000000"/>
      <name val="Arial"/>
    </font>
    <font>
      <sz val="10"/>
      <color rgb="FF000000"/>
      <name val="Arial"/>
    </font>
    <font>
      <b/>
      <u/>
      <sz val="11"/>
      <color rgb="FF000000"/>
      <name val="Calibri"/>
    </font>
    <font>
      <b/>
      <sz val="9"/>
      <color rgb="FF000000"/>
      <name val="Arial"/>
    </font>
    <font>
      <sz val="9"/>
      <color rgb="FF000000"/>
      <name val="Arial"/>
    </font>
    <font>
      <sz val="11"/>
      <color rgb="FF000000"/>
      <name val="Arial"/>
    </font>
    <font>
      <b/>
      <sz val="11"/>
      <color rgb="FF000000"/>
      <name val="Arial"/>
    </font>
    <font>
      <i/>
      <sz val="8"/>
      <color rgb="FF000000"/>
      <name val="Arial"/>
    </font>
    <font>
      <sz val="14"/>
      <color theme="1"/>
      <name val="Aptos Narrow"/>
      <scheme val="minor"/>
    </font>
    <font>
      <sz val="12"/>
      <color theme="1"/>
      <name val="Aptos Narrow"/>
      <scheme val="minor"/>
    </font>
    <font>
      <b/>
      <sz val="11"/>
      <color rgb="FF000000"/>
      <name val="Calibri"/>
      <family val="2"/>
    </font>
  </fonts>
  <fills count="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B6D7A8"/>
        <bgColor rgb="FFB6D7A8"/>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3">
    <xf numFmtId="0" fontId="0" fillId="0" borderId="0" xfId="0"/>
    <xf numFmtId="0" fontId="1" fillId="0" borderId="0" xfId="0" applyFont="1"/>
    <xf numFmtId="0" fontId="2" fillId="0" borderId="0" xfId="0" applyFont="1"/>
    <xf numFmtId="0" fontId="3" fillId="0" borderId="0" xfId="0" applyFont="1" applyAlignment="1">
      <alignment horizontal="right"/>
    </xf>
    <xf numFmtId="0" fontId="3" fillId="0" borderId="0" xfId="0" applyFont="1" applyAlignment="1">
      <alignment wrapText="1"/>
    </xf>
    <xf numFmtId="0" fontId="2" fillId="2" borderId="0" xfId="0" applyFont="1" applyFill="1"/>
    <xf numFmtId="0" fontId="4" fillId="2" borderId="0" xfId="0" applyFont="1" applyFill="1"/>
    <xf numFmtId="0" fontId="4" fillId="2" borderId="0" xfId="0" applyFont="1" applyFill="1" applyAlignment="1">
      <alignment wrapText="1"/>
    </xf>
    <xf numFmtId="0" fontId="2" fillId="0" borderId="0" xfId="0" applyFont="1" applyAlignment="1">
      <alignment wrapText="1"/>
    </xf>
    <xf numFmtId="3" fontId="2" fillId="0" borderId="0" xfId="0" applyNumberFormat="1" applyFont="1" applyAlignment="1">
      <alignment horizontal="left" wrapText="1"/>
    </xf>
    <xf numFmtId="0" fontId="2" fillId="0" borderId="0" xfId="0" applyFont="1" applyAlignment="1">
      <alignment horizontal="left" wrapText="1"/>
    </xf>
    <xf numFmtId="0" fontId="5" fillId="0" borderId="0" xfId="0" applyFont="1"/>
    <xf numFmtId="9" fontId="2" fillId="0" borderId="0" xfId="0" applyNumberFormat="1" applyFont="1" applyAlignment="1">
      <alignment horizontal="left"/>
    </xf>
    <xf numFmtId="0" fontId="2" fillId="0" borderId="0" xfId="0" applyFont="1" applyAlignment="1">
      <alignment horizontal="left"/>
    </xf>
    <xf numFmtId="0" fontId="4" fillId="2" borderId="0" xfId="0" applyFont="1" applyFill="1" applyAlignment="1">
      <alignment horizontal="left"/>
    </xf>
    <xf numFmtId="164" fontId="2" fillId="0" borderId="0" xfId="0" applyNumberFormat="1" applyFont="1"/>
    <xf numFmtId="3" fontId="2" fillId="0" borderId="0" xfId="0" applyNumberFormat="1" applyFont="1" applyAlignment="1">
      <alignment horizontal="right"/>
    </xf>
    <xf numFmtId="165" fontId="2" fillId="0" borderId="0" xfId="0" applyNumberFormat="1" applyFont="1"/>
    <xf numFmtId="0" fontId="2" fillId="0" borderId="0" xfId="0" applyFont="1" applyAlignment="1">
      <alignment horizontal="right"/>
    </xf>
    <xf numFmtId="0" fontId="4" fillId="0" borderId="0" xfId="0" applyFont="1"/>
    <xf numFmtId="3" fontId="5" fillId="0" borderId="0" xfId="0" applyNumberFormat="1" applyFont="1" applyAlignment="1">
      <alignment horizontal="right"/>
    </xf>
    <xf numFmtId="0" fontId="5" fillId="2" borderId="0" xfId="0" applyFont="1" applyFill="1"/>
    <xf numFmtId="3" fontId="5" fillId="0" borderId="0" xfId="0" applyNumberFormat="1" applyFont="1"/>
    <xf numFmtId="0" fontId="2" fillId="2" borderId="0" xfId="0" applyFont="1" applyFill="1" applyAlignment="1">
      <alignment horizontal="left"/>
    </xf>
    <xf numFmtId="166" fontId="2" fillId="0" borderId="0" xfId="0" applyNumberFormat="1" applyFont="1"/>
    <xf numFmtId="0" fontId="6" fillId="2" borderId="0" xfId="0" applyFont="1" applyFill="1" applyAlignment="1">
      <alignment horizontal="left"/>
    </xf>
    <xf numFmtId="0" fontId="7" fillId="2" borderId="0" xfId="0" applyFont="1" applyFill="1" applyAlignment="1">
      <alignment horizontal="center"/>
    </xf>
    <xf numFmtId="0" fontId="8" fillId="0" borderId="0" xfId="0" applyFont="1" applyAlignment="1">
      <alignment horizontal="left"/>
    </xf>
    <xf numFmtId="0" fontId="7" fillId="0" borderId="0" xfId="0" applyFont="1" applyAlignment="1">
      <alignment horizontal="center"/>
    </xf>
    <xf numFmtId="0" fontId="9" fillId="0" borderId="0" xfId="0" applyFont="1"/>
    <xf numFmtId="0" fontId="9" fillId="0" borderId="0" xfId="0" applyFont="1" applyAlignment="1">
      <alignment horizontal="center"/>
    </xf>
    <xf numFmtId="0" fontId="2" fillId="0" borderId="0" xfId="0" applyFont="1" applyAlignment="1">
      <alignment horizontal="center"/>
    </xf>
    <xf numFmtId="0" fontId="6" fillId="0" borderId="0" xfId="0" applyFont="1" applyAlignment="1">
      <alignment horizontal="left"/>
    </xf>
    <xf numFmtId="0" fontId="10" fillId="0" borderId="1" xfId="0" applyFont="1" applyBorder="1" applyAlignment="1">
      <alignment horizontal="center"/>
    </xf>
    <xf numFmtId="0" fontId="10" fillId="3" borderId="1" xfId="0" applyFont="1" applyFill="1" applyBorder="1" applyAlignment="1">
      <alignment horizontal="right"/>
    </xf>
    <xf numFmtId="0" fontId="11" fillId="0" borderId="1" xfId="0" applyFont="1" applyBorder="1" applyAlignment="1">
      <alignment horizontal="center"/>
    </xf>
    <xf numFmtId="0" fontId="11" fillId="3" borderId="1" xfId="0" applyFont="1" applyFill="1" applyBorder="1" applyAlignment="1">
      <alignment horizontal="right"/>
    </xf>
    <xf numFmtId="165" fontId="11" fillId="3" borderId="1" xfId="0" applyNumberFormat="1" applyFont="1" applyFill="1" applyBorder="1" applyAlignment="1">
      <alignment horizontal="right"/>
    </xf>
    <xf numFmtId="0" fontId="12" fillId="3" borderId="0" xfId="0" applyFont="1" applyFill="1"/>
    <xf numFmtId="0" fontId="12" fillId="3" borderId="1" xfId="0" applyFont="1" applyFill="1" applyBorder="1"/>
    <xf numFmtId="165" fontId="2" fillId="0" borderId="1" xfId="0" applyNumberFormat="1" applyFont="1" applyBorder="1"/>
    <xf numFmtId="165" fontId="2" fillId="3" borderId="1" xfId="0" applyNumberFormat="1" applyFont="1" applyFill="1" applyBorder="1"/>
    <xf numFmtId="165" fontId="13" fillId="3" borderId="1" xfId="0" applyNumberFormat="1" applyFont="1" applyFill="1" applyBorder="1" applyAlignment="1">
      <alignment horizontal="right"/>
    </xf>
    <xf numFmtId="0" fontId="14" fillId="0" borderId="0" xfId="0" applyFont="1" applyAlignment="1">
      <alignment horizontal="left"/>
    </xf>
    <xf numFmtId="0" fontId="15" fillId="0" borderId="0" xfId="0" applyFont="1"/>
    <xf numFmtId="0" fontId="16" fillId="0" borderId="0" xfId="0" applyFont="1"/>
    <xf numFmtId="0" fontId="2" fillId="4" borderId="0" xfId="0" applyFont="1" applyFill="1"/>
    <xf numFmtId="0" fontId="4" fillId="4" borderId="0" xfId="0" applyFont="1" applyFill="1" applyAlignment="1">
      <alignment horizontal="left"/>
    </xf>
    <xf numFmtId="3" fontId="5" fillId="2" borderId="0" xfId="0" applyNumberFormat="1" applyFont="1" applyFill="1"/>
    <xf numFmtId="0" fontId="4" fillId="4" borderId="0" xfId="0" applyFont="1" applyFill="1" applyAlignment="1">
      <alignment wrapText="1"/>
    </xf>
    <xf numFmtId="0" fontId="4" fillId="4" borderId="0" xfId="0" applyFont="1" applyFill="1" applyAlignment="1">
      <alignment horizontal="center" wrapText="1"/>
    </xf>
    <xf numFmtId="3" fontId="2" fillId="0" borderId="0" xfId="0" applyNumberFormat="1" applyFont="1"/>
    <xf numFmtId="0" fontId="2" fillId="4" borderId="0" xfId="0" applyFont="1" applyFill="1" applyAlignment="1">
      <alignment horizontal="left"/>
    </xf>
    <xf numFmtId="3" fontId="4" fillId="5" borderId="2" xfId="0" applyNumberFormat="1" applyFont="1" applyFill="1" applyBorder="1"/>
    <xf numFmtId="0" fontId="4" fillId="5" borderId="3" xfId="0" applyFont="1" applyFill="1" applyBorder="1"/>
    <xf numFmtId="0" fontId="5" fillId="4" borderId="0" xfId="0" applyFont="1" applyFill="1"/>
    <xf numFmtId="0" fontId="4" fillId="4" borderId="0" xfId="0" applyFont="1" applyFill="1"/>
    <xf numFmtId="0" fontId="4" fillId="0" borderId="0" xfId="0" applyFont="1" applyAlignment="1">
      <alignment horizontal="left"/>
    </xf>
    <xf numFmtId="3" fontId="2" fillId="0" borderId="0" xfId="0" applyNumberFormat="1" applyFont="1" applyAlignment="1">
      <alignment horizontal="left"/>
    </xf>
    <xf numFmtId="3" fontId="4" fillId="0" borderId="0" xfId="0" applyNumberFormat="1" applyFont="1" applyAlignment="1">
      <alignment horizontal="left"/>
    </xf>
    <xf numFmtId="9" fontId="4" fillId="0" borderId="0" xfId="0" applyNumberFormat="1" applyFont="1"/>
    <xf numFmtId="3" fontId="2" fillId="2" borderId="0" xfId="0" applyNumberFormat="1" applyFont="1" applyFill="1" applyAlignment="1">
      <alignment horizontal="left"/>
    </xf>
    <xf numFmtId="165" fontId="2" fillId="2" borderId="0" xfId="0" applyNumberFormat="1" applyFont="1" applyFill="1"/>
    <xf numFmtId="0" fontId="4" fillId="4" borderId="0" xfId="0" applyFont="1" applyFill="1" applyAlignment="1">
      <alignment horizontal="left"/>
    </xf>
    <xf numFmtId="0" fontId="2" fillId="0" borderId="0" xfId="0" applyFont="1" applyAlignment="1">
      <alignment wrapText="1"/>
    </xf>
    <xf numFmtId="0" fontId="0" fillId="0" borderId="0" xfId="0"/>
    <xf numFmtId="0" fontId="2" fillId="0" borderId="0" xfId="0" applyFont="1" applyAlignment="1">
      <alignment horizontal="left"/>
    </xf>
    <xf numFmtId="0" fontId="4" fillId="2" borderId="0" xfId="0" applyFont="1" applyFill="1" applyAlignment="1">
      <alignment horizontal="left"/>
    </xf>
    <xf numFmtId="167" fontId="2" fillId="0" borderId="0" xfId="0" applyNumberFormat="1" applyFont="1"/>
    <xf numFmtId="168" fontId="2" fillId="0" borderId="0" xfId="0" applyNumberFormat="1" applyFont="1"/>
    <xf numFmtId="169" fontId="2" fillId="0" borderId="0" xfId="0" applyNumberFormat="1" applyFont="1"/>
    <xf numFmtId="169" fontId="4" fillId="0" borderId="1" xfId="0" applyNumberFormat="1" applyFont="1" applyBorder="1"/>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161925</xdr:rowOff>
    </xdr:from>
    <xdr:ext cx="2495550" cy="1685925"/>
    <xdr:pic>
      <xdr:nvPicPr>
        <xdr:cNvPr id="2" name="image1.png">
          <a:extLst>
            <a:ext uri="{FF2B5EF4-FFF2-40B4-BE49-F238E27FC236}">
              <a16:creationId xmlns:a16="http://schemas.microsoft.com/office/drawing/2014/main" id="{D33A2AD2-8D91-4CC3-9889-F2E10026D4DA}"/>
            </a:ext>
          </a:extLst>
        </xdr:cNvPr>
        <xdr:cNvPicPr preferRelativeResize="0"/>
      </xdr:nvPicPr>
      <xdr:blipFill>
        <a:blip xmlns:r="http://schemas.openxmlformats.org/officeDocument/2006/relationships" r:embed="rId1" cstate="print"/>
        <a:stretch>
          <a:fillRect/>
        </a:stretch>
      </xdr:blipFill>
      <xdr:spPr>
        <a:xfrm>
          <a:off x="8051800" y="746125"/>
          <a:ext cx="2495550" cy="16859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Devangna%20Jadeja\Downloads\GHG%20Spreadsheet-Devangna%20Jadeja.xlsx" TargetMode="External"/><Relationship Id="rId1" Type="http://schemas.openxmlformats.org/officeDocument/2006/relationships/externalLinkPath" Target="GHG%20Spreadsheet-Devangna%20Jadej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Company Info"/>
      <sheetName val="Scope 1 &amp; 2 GHG Factors"/>
      <sheetName val="FILL IN GHG Calc Summary"/>
      <sheetName val="FILL IN GHG Footprint graphs"/>
    </sheetNames>
    <sheetDataSet>
      <sheetData sheetId="0">
        <row r="23">
          <cell r="C23">
            <v>1200000000</v>
          </cell>
          <cell r="E23">
            <v>1.1639999999999999</v>
          </cell>
        </row>
        <row r="24">
          <cell r="C24">
            <v>100000000</v>
          </cell>
          <cell r="E24">
            <v>0.11700000000000001</v>
          </cell>
        </row>
        <row r="25">
          <cell r="C25">
            <v>20000000</v>
          </cell>
          <cell r="E25">
            <v>8.5999999999999993E-2</v>
          </cell>
        </row>
        <row r="27">
          <cell r="C27">
            <v>45000000</v>
          </cell>
          <cell r="E27">
            <v>0.16394666666666666</v>
          </cell>
        </row>
        <row r="28">
          <cell r="C28">
            <v>2830000</v>
          </cell>
          <cell r="E28">
            <v>0.30798586572438164</v>
          </cell>
        </row>
        <row r="30">
          <cell r="C30">
            <v>12010199</v>
          </cell>
        </row>
        <row r="31">
          <cell r="C31">
            <v>1392598</v>
          </cell>
        </row>
        <row r="33">
          <cell r="C33">
            <v>150500</v>
          </cell>
        </row>
        <row r="34">
          <cell r="C34">
            <v>215000</v>
          </cell>
        </row>
        <row r="35">
          <cell r="C35">
            <v>50500</v>
          </cell>
        </row>
        <row r="36">
          <cell r="C36">
            <v>179500</v>
          </cell>
        </row>
        <row r="37">
          <cell r="C37">
            <v>45500</v>
          </cell>
        </row>
        <row r="40">
          <cell r="C40">
            <v>1750000</v>
          </cell>
          <cell r="E40">
            <v>0.35299999999999998</v>
          </cell>
        </row>
        <row r="41">
          <cell r="C41">
            <v>1050000</v>
          </cell>
          <cell r="E41">
            <v>0.28289999999999998</v>
          </cell>
        </row>
        <row r="42">
          <cell r="C42">
            <v>650000</v>
          </cell>
          <cell r="E42">
            <v>0.504</v>
          </cell>
        </row>
        <row r="43">
          <cell r="C43">
            <v>250000</v>
          </cell>
          <cell r="E43">
            <v>2.8279999999999998</v>
          </cell>
        </row>
      </sheetData>
      <sheetData sheetId="1">
        <row r="5">
          <cell r="B5">
            <v>2.6856599999999999</v>
          </cell>
        </row>
        <row r="8">
          <cell r="B8">
            <v>1.8868</v>
          </cell>
        </row>
        <row r="23">
          <cell r="G23">
            <v>735.45033599999999</v>
          </cell>
        </row>
        <row r="31">
          <cell r="G31">
            <v>75.928415999999999</v>
          </cell>
        </row>
        <row r="43">
          <cell r="G43">
            <v>436.64073599999995</v>
          </cell>
        </row>
        <row r="57">
          <cell r="G57">
            <v>889.47532799999999</v>
          </cell>
        </row>
        <row r="70">
          <cell r="G70">
            <v>516.50379294390905</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7728-C030-407F-A50D-455AEDC89773}">
  <dimension ref="A1:I1010"/>
  <sheetViews>
    <sheetView workbookViewId="0">
      <selection activeCell="B4" sqref="B4:C4"/>
    </sheetView>
  </sheetViews>
  <sheetFormatPr defaultColWidth="14.453125" defaultRowHeight="15" customHeight="1" x14ac:dyDescent="0.35"/>
  <cols>
    <col min="1" max="1" width="4.453125" customWidth="1"/>
    <col min="2" max="2" width="38.08984375" customWidth="1"/>
    <col min="3" max="3" width="72.7265625" customWidth="1"/>
    <col min="4" max="4" width="10.54296875" customWidth="1"/>
    <col min="5" max="5" width="20.54296875" customWidth="1"/>
    <col min="6" max="6" width="25" customWidth="1"/>
    <col min="7" max="7" width="12.453125" customWidth="1"/>
    <col min="8" max="9" width="8.453125" customWidth="1"/>
  </cols>
  <sheetData>
    <row r="1" spans="1:9" ht="32.25" customHeight="1" x14ac:dyDescent="0.45">
      <c r="B1" s="1" t="s">
        <v>0</v>
      </c>
      <c r="C1" s="2"/>
      <c r="D1" s="3" t="s">
        <v>1</v>
      </c>
      <c r="E1" s="4" t="s">
        <v>2</v>
      </c>
      <c r="F1" s="2"/>
      <c r="G1" s="2"/>
      <c r="H1" s="2"/>
      <c r="I1" s="2"/>
    </row>
    <row r="2" spans="1:9" ht="14.25" customHeight="1" x14ac:dyDescent="0.35">
      <c r="D2" s="2"/>
      <c r="E2" s="2"/>
      <c r="F2" s="2"/>
      <c r="G2" s="2"/>
      <c r="H2" s="2"/>
      <c r="I2" s="2"/>
    </row>
    <row r="3" spans="1:9" ht="14.25" customHeight="1" x14ac:dyDescent="0.35">
      <c r="A3" s="5"/>
      <c r="B3" s="6" t="s">
        <v>3</v>
      </c>
      <c r="C3" s="7"/>
      <c r="D3" s="5"/>
      <c r="E3" s="5"/>
      <c r="F3" s="5"/>
      <c r="G3" s="5"/>
      <c r="H3" s="2"/>
      <c r="I3" s="2"/>
    </row>
    <row r="4" spans="1:9" ht="33" customHeight="1" x14ac:dyDescent="0.35">
      <c r="A4" s="5"/>
      <c r="B4" s="64" t="s">
        <v>4</v>
      </c>
      <c r="C4" s="65"/>
      <c r="D4" s="2"/>
      <c r="E4" s="2"/>
      <c r="F4" s="2"/>
      <c r="G4" s="5"/>
      <c r="H4" s="2"/>
      <c r="I4" s="2"/>
    </row>
    <row r="5" spans="1:9" ht="14.25" customHeight="1" x14ac:dyDescent="0.35">
      <c r="A5" s="5"/>
      <c r="B5" s="2" t="s">
        <v>5</v>
      </c>
      <c r="C5" s="8" t="s">
        <v>6</v>
      </c>
      <c r="D5" s="2"/>
      <c r="E5" s="2"/>
      <c r="F5" s="2"/>
      <c r="G5" s="5"/>
      <c r="H5" s="2"/>
      <c r="I5" s="2"/>
    </row>
    <row r="6" spans="1:9" ht="14.25" customHeight="1" x14ac:dyDescent="0.35">
      <c r="A6" s="5"/>
      <c r="B6" s="2" t="s">
        <v>7</v>
      </c>
      <c r="C6" s="8" t="s">
        <v>8</v>
      </c>
      <c r="D6" s="2"/>
      <c r="E6" s="2"/>
      <c r="F6" s="2"/>
      <c r="G6" s="5"/>
      <c r="H6" s="2"/>
      <c r="I6" s="2"/>
    </row>
    <row r="7" spans="1:9" ht="14.25" customHeight="1" x14ac:dyDescent="0.35">
      <c r="A7" s="5"/>
      <c r="B7" s="2" t="s">
        <v>9</v>
      </c>
      <c r="C7" s="8" t="s">
        <v>10</v>
      </c>
      <c r="D7" s="2"/>
      <c r="E7" s="2"/>
      <c r="F7" s="2"/>
      <c r="G7" s="5"/>
      <c r="H7" s="2"/>
      <c r="I7" s="2"/>
    </row>
    <row r="8" spans="1:9" ht="14.25" customHeight="1" x14ac:dyDescent="0.35">
      <c r="A8" s="5"/>
      <c r="B8" s="2" t="s">
        <v>11</v>
      </c>
      <c r="C8" s="8" t="s">
        <v>12</v>
      </c>
      <c r="D8" s="2"/>
      <c r="E8" s="2"/>
      <c r="F8" s="2"/>
      <c r="G8" s="5"/>
      <c r="H8" s="2"/>
      <c r="I8" s="2"/>
    </row>
    <row r="9" spans="1:9" ht="14.25" customHeight="1" x14ac:dyDescent="0.35">
      <c r="A9" s="5"/>
      <c r="B9" s="2" t="s">
        <v>13</v>
      </c>
      <c r="C9" s="8" t="s">
        <v>14</v>
      </c>
      <c r="D9" s="2"/>
      <c r="E9" s="2"/>
      <c r="F9" s="2"/>
      <c r="G9" s="5"/>
      <c r="H9" s="2"/>
      <c r="I9" s="2"/>
    </row>
    <row r="10" spans="1:9" ht="14.25" customHeight="1" x14ac:dyDescent="0.35">
      <c r="A10" s="5"/>
      <c r="B10" s="2" t="s">
        <v>15</v>
      </c>
      <c r="C10" s="8" t="s">
        <v>16</v>
      </c>
      <c r="D10" s="2"/>
      <c r="E10" s="2"/>
      <c r="F10" s="2"/>
      <c r="G10" s="5"/>
      <c r="H10" s="2"/>
      <c r="I10" s="2"/>
    </row>
    <row r="11" spans="1:9" ht="14.25" customHeight="1" x14ac:dyDescent="0.35">
      <c r="A11" s="5"/>
      <c r="B11" s="2"/>
      <c r="C11" s="8"/>
      <c r="D11" s="2"/>
      <c r="E11" s="2"/>
      <c r="F11" s="2"/>
      <c r="G11" s="5"/>
      <c r="H11" s="2"/>
      <c r="I11" s="2"/>
    </row>
    <row r="12" spans="1:9" ht="14.25" customHeight="1" x14ac:dyDescent="0.35">
      <c r="A12" s="5"/>
      <c r="B12" s="6" t="s">
        <v>17</v>
      </c>
      <c r="C12" s="7"/>
      <c r="D12" s="5"/>
      <c r="E12" s="5"/>
      <c r="F12" s="5"/>
      <c r="G12" s="5"/>
      <c r="H12" s="2"/>
      <c r="I12" s="2"/>
    </row>
    <row r="13" spans="1:9" ht="14.25" customHeight="1" x14ac:dyDescent="0.35">
      <c r="A13" s="5"/>
      <c r="B13" s="2" t="s">
        <v>18</v>
      </c>
      <c r="C13" s="9">
        <v>22000</v>
      </c>
      <c r="E13" s="2"/>
      <c r="F13" s="2"/>
      <c r="G13" s="5"/>
      <c r="H13" s="2"/>
      <c r="I13" s="2"/>
    </row>
    <row r="14" spans="1:9" ht="14.25" customHeight="1" x14ac:dyDescent="0.35">
      <c r="A14" s="5"/>
      <c r="B14" s="2" t="s">
        <v>19</v>
      </c>
      <c r="C14" s="8" t="s">
        <v>20</v>
      </c>
      <c r="E14" s="2"/>
      <c r="F14" s="2"/>
      <c r="G14" s="5"/>
      <c r="H14" s="2"/>
      <c r="I14" s="2"/>
    </row>
    <row r="15" spans="1:9" ht="14.25" customHeight="1" x14ac:dyDescent="0.35">
      <c r="A15" s="5"/>
      <c r="B15" s="2" t="s">
        <v>21</v>
      </c>
      <c r="C15" s="10">
        <v>18</v>
      </c>
      <c r="E15" s="2"/>
      <c r="F15" s="2"/>
      <c r="G15" s="5"/>
      <c r="H15" s="2"/>
      <c r="I15" s="2"/>
    </row>
    <row r="16" spans="1:9" ht="14.25" customHeight="1" x14ac:dyDescent="0.35">
      <c r="A16" s="5"/>
      <c r="B16" s="2" t="s">
        <v>22</v>
      </c>
      <c r="C16" s="9">
        <v>7500000</v>
      </c>
      <c r="E16" s="11">
        <f>2941*22000</f>
        <v>64702000</v>
      </c>
      <c r="G16" s="5"/>
    </row>
    <row r="17" spans="1:7" ht="14.25" customHeight="1" x14ac:dyDescent="0.35">
      <c r="A17" s="5"/>
      <c r="B17" s="2" t="s">
        <v>23</v>
      </c>
      <c r="C17" s="9">
        <v>2500000</v>
      </c>
      <c r="G17" s="5"/>
    </row>
    <row r="18" spans="1:7" ht="14.25" customHeight="1" x14ac:dyDescent="0.35">
      <c r="A18" s="5"/>
      <c r="B18" s="2" t="s">
        <v>24</v>
      </c>
      <c r="C18" s="12">
        <v>0.95</v>
      </c>
      <c r="G18" s="5"/>
    </row>
    <row r="19" spans="1:7" ht="14.25" customHeight="1" x14ac:dyDescent="0.35">
      <c r="A19" s="5"/>
      <c r="B19" s="13" t="s">
        <v>25</v>
      </c>
      <c r="C19" s="13" t="s">
        <v>26</v>
      </c>
      <c r="D19" s="2"/>
      <c r="E19" s="2"/>
      <c r="F19" s="2"/>
      <c r="G19" s="5"/>
    </row>
    <row r="20" spans="1:7" ht="14.25" customHeight="1" x14ac:dyDescent="0.35">
      <c r="A20" s="5"/>
      <c r="B20" s="66" t="s">
        <v>27</v>
      </c>
      <c r="C20" s="65"/>
      <c r="D20" s="2"/>
      <c r="E20" s="2"/>
      <c r="F20" s="2"/>
      <c r="G20" s="5"/>
    </row>
    <row r="21" spans="1:7" ht="14.25" customHeight="1" x14ac:dyDescent="0.35">
      <c r="A21" s="5"/>
      <c r="B21" s="13" t="s">
        <v>28</v>
      </c>
      <c r="C21" s="13" t="s">
        <v>29</v>
      </c>
      <c r="D21" s="2"/>
      <c r="E21" s="2"/>
      <c r="F21" s="2"/>
      <c r="G21" s="5"/>
    </row>
    <row r="22" spans="1:7" ht="14.25" customHeight="1" x14ac:dyDescent="0.35">
      <c r="A22" s="5"/>
      <c r="B22" s="14" t="s">
        <v>30</v>
      </c>
      <c r="C22" s="5"/>
      <c r="D22" s="5"/>
      <c r="E22" s="6" t="s">
        <v>31</v>
      </c>
      <c r="F22" s="5"/>
      <c r="G22" s="5"/>
    </row>
    <row r="23" spans="1:7" ht="14.25" customHeight="1" x14ac:dyDescent="0.35">
      <c r="A23" s="5"/>
      <c r="B23" s="13" t="s">
        <v>32</v>
      </c>
      <c r="C23" s="15">
        <v>1200000000</v>
      </c>
      <c r="D23" s="2" t="s">
        <v>33</v>
      </c>
      <c r="E23" s="2">
        <v>1.1639999999999999</v>
      </c>
      <c r="F23" s="2" t="s">
        <v>34</v>
      </c>
      <c r="G23" s="5"/>
    </row>
    <row r="24" spans="1:7" ht="14.25" customHeight="1" x14ac:dyDescent="0.35">
      <c r="A24" s="5"/>
      <c r="B24" s="13" t="s">
        <v>35</v>
      </c>
      <c r="C24" s="15">
        <v>100000000</v>
      </c>
      <c r="D24" s="2" t="s">
        <v>33</v>
      </c>
      <c r="E24" s="2">
        <v>0.11700000000000001</v>
      </c>
      <c r="F24" s="2" t="s">
        <v>34</v>
      </c>
      <c r="G24" s="5"/>
    </row>
    <row r="25" spans="1:7" ht="14.25" customHeight="1" x14ac:dyDescent="0.35">
      <c r="A25" s="5"/>
      <c r="B25" s="13" t="s">
        <v>36</v>
      </c>
      <c r="C25" s="15">
        <v>20000000</v>
      </c>
      <c r="D25" s="2" t="s">
        <v>33</v>
      </c>
      <c r="E25" s="2" t="s">
        <v>37</v>
      </c>
      <c r="F25" s="2" t="s">
        <v>34</v>
      </c>
      <c r="G25" s="5"/>
    </row>
    <row r="26" spans="1:7" ht="14.25" customHeight="1" x14ac:dyDescent="0.35">
      <c r="A26" s="5"/>
      <c r="B26" s="14" t="s">
        <v>38</v>
      </c>
      <c r="C26" s="5"/>
      <c r="D26" s="5"/>
      <c r="E26" s="6" t="s">
        <v>31</v>
      </c>
      <c r="F26" s="5"/>
      <c r="G26" s="5"/>
    </row>
    <row r="27" spans="1:7" ht="14.25" customHeight="1" x14ac:dyDescent="0.35">
      <c r="A27" s="5"/>
      <c r="B27" s="13" t="s">
        <v>39</v>
      </c>
      <c r="C27" s="16">
        <v>45000000</v>
      </c>
      <c r="D27" s="2" t="s">
        <v>40</v>
      </c>
      <c r="E27" s="17">
        <v>0.16394666666666666</v>
      </c>
      <c r="F27" s="2" t="s">
        <v>41</v>
      </c>
      <c r="G27" s="5"/>
    </row>
    <row r="28" spans="1:7" ht="14.25" customHeight="1" x14ac:dyDescent="0.35">
      <c r="A28" s="5"/>
      <c r="B28" s="13" t="s">
        <v>42</v>
      </c>
      <c r="C28" s="16">
        <v>2830000</v>
      </c>
      <c r="D28" s="2" t="s">
        <v>40</v>
      </c>
      <c r="E28" s="17">
        <v>0.30798586572438164</v>
      </c>
      <c r="F28" s="2" t="s">
        <v>41</v>
      </c>
      <c r="G28" s="5"/>
    </row>
    <row r="29" spans="1:7" ht="14.25" customHeight="1" x14ac:dyDescent="0.35">
      <c r="A29" s="5"/>
      <c r="B29" s="67" t="s">
        <v>43</v>
      </c>
      <c r="C29" s="65"/>
      <c r="D29" s="5"/>
      <c r="E29" s="6"/>
      <c r="F29" s="5"/>
      <c r="G29" s="5"/>
    </row>
    <row r="30" spans="1:7" ht="14.25" customHeight="1" x14ac:dyDescent="0.35">
      <c r="A30" s="5"/>
      <c r="B30" s="13" t="s">
        <v>44</v>
      </c>
      <c r="C30" s="16">
        <v>12010199</v>
      </c>
      <c r="D30" s="13" t="s">
        <v>45</v>
      </c>
      <c r="E30" s="2"/>
      <c r="F30" s="2"/>
      <c r="G30" s="5"/>
    </row>
    <row r="31" spans="1:7" ht="14.25" customHeight="1" x14ac:dyDescent="0.35">
      <c r="A31" s="5"/>
      <c r="B31" s="13" t="s">
        <v>46</v>
      </c>
      <c r="C31" s="16">
        <v>1392598</v>
      </c>
      <c r="D31" s="13" t="s">
        <v>47</v>
      </c>
      <c r="E31" s="2"/>
      <c r="F31" s="2"/>
      <c r="G31" s="5"/>
    </row>
    <row r="32" spans="1:7" ht="14.25" customHeight="1" x14ac:dyDescent="0.35">
      <c r="A32" s="5"/>
      <c r="B32" s="13" t="s">
        <v>48</v>
      </c>
      <c r="C32" s="13"/>
      <c r="D32" s="13"/>
      <c r="E32" s="2"/>
      <c r="F32" s="2"/>
      <c r="G32" s="5"/>
    </row>
    <row r="33" spans="1:7" ht="14.25" customHeight="1" x14ac:dyDescent="0.35">
      <c r="A33" s="5"/>
      <c r="B33" s="18" t="s">
        <v>49</v>
      </c>
      <c r="C33" s="16">
        <v>150500</v>
      </c>
      <c r="D33" s="13" t="s">
        <v>50</v>
      </c>
      <c r="E33" s="2"/>
      <c r="F33" s="2"/>
      <c r="G33" s="5"/>
    </row>
    <row r="34" spans="1:7" ht="14.25" customHeight="1" x14ac:dyDescent="0.35">
      <c r="A34" s="5"/>
      <c r="B34" s="18" t="s">
        <v>51</v>
      </c>
      <c r="C34" s="16">
        <v>215000</v>
      </c>
      <c r="D34" s="13" t="s">
        <v>50</v>
      </c>
      <c r="E34" s="19"/>
      <c r="F34" s="2"/>
      <c r="G34" s="5"/>
    </row>
    <row r="35" spans="1:7" ht="14.25" customHeight="1" x14ac:dyDescent="0.35">
      <c r="A35" s="5"/>
      <c r="B35" s="18" t="s">
        <v>52</v>
      </c>
      <c r="C35" s="20">
        <v>50500</v>
      </c>
      <c r="D35" s="13" t="s">
        <v>50</v>
      </c>
      <c r="E35" s="2"/>
      <c r="F35" s="2"/>
      <c r="G35" s="5"/>
    </row>
    <row r="36" spans="1:7" ht="14.25" customHeight="1" x14ac:dyDescent="0.35">
      <c r="A36" s="5"/>
      <c r="B36" s="18" t="s">
        <v>53</v>
      </c>
      <c r="C36" s="20">
        <v>179500</v>
      </c>
      <c r="D36" s="13" t="s">
        <v>50</v>
      </c>
      <c r="E36" s="2"/>
      <c r="F36" s="2"/>
      <c r="G36" s="5"/>
    </row>
    <row r="37" spans="1:7" ht="14.25" customHeight="1" x14ac:dyDescent="0.35">
      <c r="A37" s="5"/>
      <c r="B37" s="18" t="s">
        <v>54</v>
      </c>
      <c r="C37" s="20">
        <v>45500</v>
      </c>
      <c r="D37" s="13" t="s">
        <v>50</v>
      </c>
      <c r="E37" s="2"/>
      <c r="F37" s="2"/>
      <c r="G37" s="5"/>
    </row>
    <row r="38" spans="1:7" ht="14.25" customHeight="1" x14ac:dyDescent="0.35">
      <c r="A38" s="5"/>
      <c r="B38" s="66" t="s">
        <v>55</v>
      </c>
      <c r="C38" s="65"/>
      <c r="D38" s="65"/>
      <c r="E38" s="65"/>
      <c r="F38" s="2"/>
      <c r="G38" s="5"/>
    </row>
    <row r="39" spans="1:7" ht="14.25" customHeight="1" x14ac:dyDescent="0.35">
      <c r="A39" s="5"/>
      <c r="B39" s="14" t="s">
        <v>56</v>
      </c>
      <c r="C39" s="6" t="s">
        <v>57</v>
      </c>
      <c r="D39" s="21"/>
      <c r="E39" s="7" t="s">
        <v>58</v>
      </c>
      <c r="F39" s="5"/>
      <c r="G39" s="5"/>
    </row>
    <row r="40" spans="1:7" ht="14.25" customHeight="1" x14ac:dyDescent="0.35">
      <c r="A40" s="5"/>
      <c r="B40" s="13" t="s">
        <v>59</v>
      </c>
      <c r="C40" s="22">
        <v>1750000</v>
      </c>
      <c r="D40" s="13" t="s">
        <v>60</v>
      </c>
      <c r="E40" s="2">
        <v>0.35299999999999998</v>
      </c>
      <c r="F40" s="2" t="s">
        <v>61</v>
      </c>
      <c r="G40" s="5"/>
    </row>
    <row r="41" spans="1:7" ht="14.25" customHeight="1" x14ac:dyDescent="0.35">
      <c r="A41" s="5"/>
      <c r="B41" s="13" t="s">
        <v>62</v>
      </c>
      <c r="C41" s="22">
        <v>1050000</v>
      </c>
      <c r="D41" s="13" t="s">
        <v>60</v>
      </c>
      <c r="E41" s="2">
        <v>0.28289999999999998</v>
      </c>
      <c r="F41" s="2" t="s">
        <v>61</v>
      </c>
      <c r="G41" s="5"/>
    </row>
    <row r="42" spans="1:7" ht="14.25" customHeight="1" x14ac:dyDescent="0.35">
      <c r="A42" s="5"/>
      <c r="B42" s="13" t="s">
        <v>63</v>
      </c>
      <c r="C42" s="22">
        <v>650000</v>
      </c>
      <c r="D42" s="13" t="s">
        <v>60</v>
      </c>
      <c r="E42" s="2">
        <v>0.504</v>
      </c>
      <c r="F42" s="2" t="s">
        <v>61</v>
      </c>
      <c r="G42" s="5"/>
    </row>
    <row r="43" spans="1:7" ht="14.25" customHeight="1" x14ac:dyDescent="0.35">
      <c r="A43" s="5"/>
      <c r="B43" s="13" t="s">
        <v>64</v>
      </c>
      <c r="C43" s="22">
        <v>250000</v>
      </c>
      <c r="D43" s="13" t="s">
        <v>60</v>
      </c>
      <c r="E43" s="2">
        <v>2.8279999999999998</v>
      </c>
      <c r="F43" s="2" t="s">
        <v>61</v>
      </c>
      <c r="G43" s="5"/>
    </row>
    <row r="44" spans="1:7" ht="14.25" customHeight="1" x14ac:dyDescent="0.35">
      <c r="A44" s="5"/>
      <c r="B44" s="5"/>
      <c r="C44" s="23"/>
      <c r="D44" s="5"/>
      <c r="E44" s="5"/>
      <c r="F44" s="5"/>
      <c r="G44" s="5"/>
    </row>
    <row r="45" spans="1:7" ht="14.25" customHeight="1" x14ac:dyDescent="0.35">
      <c r="A45" s="2"/>
      <c r="B45" s="2"/>
      <c r="C45" s="2"/>
      <c r="D45" s="2"/>
      <c r="E45" s="2"/>
      <c r="F45" s="2"/>
      <c r="G45" s="2"/>
    </row>
    <row r="46" spans="1:7" ht="14.25" customHeight="1" x14ac:dyDescent="0.35">
      <c r="B46" s="2"/>
      <c r="C46" s="24"/>
      <c r="D46" s="2"/>
    </row>
    <row r="47" spans="1:7" ht="14.25" customHeight="1" x14ac:dyDescent="0.35">
      <c r="B47" s="2"/>
      <c r="C47" s="24"/>
      <c r="D47" s="2"/>
    </row>
    <row r="48" spans="1:7" ht="14.25" customHeight="1" x14ac:dyDescent="0.35">
      <c r="B48" s="2"/>
      <c r="C48" s="24"/>
      <c r="D48" s="2"/>
    </row>
    <row r="49" spans="2:4" ht="14.25" customHeight="1" x14ac:dyDescent="0.35">
      <c r="B49" s="2"/>
      <c r="C49" s="24"/>
      <c r="D49" s="2"/>
    </row>
    <row r="50" spans="2:4" ht="14.25" customHeight="1" x14ac:dyDescent="0.35"/>
    <row r="51" spans="2:4" ht="14.25" customHeight="1" x14ac:dyDescent="0.35"/>
    <row r="52" spans="2:4" ht="14.25" customHeight="1" x14ac:dyDescent="0.35"/>
    <row r="53" spans="2:4" ht="14.25" customHeight="1" x14ac:dyDescent="0.35"/>
    <row r="54" spans="2:4" ht="14.25" customHeight="1" x14ac:dyDescent="0.35"/>
    <row r="55" spans="2:4" ht="14.25" customHeight="1" x14ac:dyDescent="0.35"/>
    <row r="56" spans="2:4" ht="14.25" customHeight="1" x14ac:dyDescent="0.35"/>
    <row r="57" spans="2:4" ht="14.25" customHeight="1" x14ac:dyDescent="0.35"/>
    <row r="58" spans="2:4" ht="14.25" customHeight="1" x14ac:dyDescent="0.35"/>
    <row r="59" spans="2:4" ht="14.25" customHeight="1" x14ac:dyDescent="0.35"/>
    <row r="60" spans="2:4" ht="14.25" customHeight="1" x14ac:dyDescent="0.35"/>
    <row r="61" spans="2:4" ht="14.25" customHeight="1" x14ac:dyDescent="0.35"/>
    <row r="62" spans="2:4" ht="14.25" customHeight="1" x14ac:dyDescent="0.35"/>
    <row r="63" spans="2:4" ht="14.25" customHeight="1" x14ac:dyDescent="0.35"/>
    <row r="64" spans="2:4" ht="14.25" customHeight="1" x14ac:dyDescent="0.35"/>
    <row r="65" customFormat="1" ht="14.25" customHeight="1" x14ac:dyDescent="0.35"/>
    <row r="66" customFormat="1" ht="14.25" customHeight="1" x14ac:dyDescent="0.35"/>
    <row r="67" customFormat="1" ht="14.25" customHeight="1" x14ac:dyDescent="0.35"/>
    <row r="68" customFormat="1" ht="14.25" customHeight="1" x14ac:dyDescent="0.35"/>
    <row r="69" customFormat="1" ht="14.25" customHeight="1" x14ac:dyDescent="0.35"/>
    <row r="70" customFormat="1" ht="14.25" customHeight="1" x14ac:dyDescent="0.35"/>
    <row r="71" customFormat="1" ht="14.25" customHeight="1" x14ac:dyDescent="0.35"/>
    <row r="72" customFormat="1" ht="14.25" customHeight="1" x14ac:dyDescent="0.35"/>
    <row r="73" customFormat="1" ht="14.25" customHeight="1" x14ac:dyDescent="0.35"/>
    <row r="74" customFormat="1" ht="14.25" customHeight="1" x14ac:dyDescent="0.35"/>
    <row r="75" customFormat="1" ht="14.25" customHeight="1" x14ac:dyDescent="0.35"/>
    <row r="76" customFormat="1" ht="14.25" customHeight="1" x14ac:dyDescent="0.35"/>
    <row r="77" customFormat="1" ht="14.25" customHeight="1" x14ac:dyDescent="0.35"/>
    <row r="78" customFormat="1" ht="14.25" customHeight="1" x14ac:dyDescent="0.35"/>
    <row r="79" customFormat="1" ht="14.25" customHeight="1" x14ac:dyDescent="0.35"/>
    <row r="80" customFormat="1" ht="14.25" customHeight="1" x14ac:dyDescent="0.35"/>
    <row r="81" customFormat="1" ht="14.25" customHeight="1" x14ac:dyDescent="0.35"/>
    <row r="82" customFormat="1" ht="14.25" customHeight="1" x14ac:dyDescent="0.35"/>
    <row r="83" customFormat="1" ht="14.25" customHeight="1" x14ac:dyDescent="0.35"/>
    <row r="84" customFormat="1" ht="14.25" customHeight="1" x14ac:dyDescent="0.35"/>
    <row r="85" customFormat="1" ht="14.25" customHeight="1" x14ac:dyDescent="0.35"/>
    <row r="86" customFormat="1" ht="14.25" customHeight="1" x14ac:dyDescent="0.35"/>
    <row r="87" customFormat="1" ht="14.25" customHeight="1" x14ac:dyDescent="0.35"/>
    <row r="88" customFormat="1" ht="14.25" customHeight="1" x14ac:dyDescent="0.35"/>
    <row r="89" customFormat="1" ht="14.25" customHeight="1" x14ac:dyDescent="0.35"/>
    <row r="90" customFormat="1" ht="14.25" customHeight="1" x14ac:dyDescent="0.35"/>
    <row r="91" customFormat="1" ht="14.25" customHeight="1" x14ac:dyDescent="0.35"/>
    <row r="92" customFormat="1" ht="14.25" customHeight="1" x14ac:dyDescent="0.35"/>
    <row r="93" customFormat="1" ht="14.25" customHeight="1" x14ac:dyDescent="0.35"/>
    <row r="94" customFormat="1" ht="14.25" customHeight="1" x14ac:dyDescent="0.35"/>
    <row r="95" customFormat="1" ht="14.25" customHeight="1" x14ac:dyDescent="0.35"/>
    <row r="96" customFormat="1" ht="14.25" customHeight="1" x14ac:dyDescent="0.35"/>
    <row r="97" customFormat="1" ht="14.25" customHeight="1" x14ac:dyDescent="0.35"/>
    <row r="98" customFormat="1" ht="14.25" customHeight="1" x14ac:dyDescent="0.35"/>
    <row r="99" customFormat="1" ht="14.25" customHeight="1" x14ac:dyDescent="0.35"/>
    <row r="100" customFormat="1" ht="14.25" customHeight="1" x14ac:dyDescent="0.35"/>
    <row r="101" customFormat="1" ht="14.25" customHeight="1" x14ac:dyDescent="0.35"/>
    <row r="102" customFormat="1" ht="14.25" customHeight="1" x14ac:dyDescent="0.35"/>
    <row r="103" customFormat="1" ht="14.25" customHeight="1" x14ac:dyDescent="0.35"/>
    <row r="104" customFormat="1" ht="14.25" customHeight="1" x14ac:dyDescent="0.35"/>
    <row r="105" customFormat="1" ht="14.25" customHeight="1" x14ac:dyDescent="0.35"/>
    <row r="106" customFormat="1" ht="14.25" customHeight="1" x14ac:dyDescent="0.35"/>
    <row r="107" customFormat="1" ht="14.25" customHeight="1" x14ac:dyDescent="0.35"/>
    <row r="108" customFormat="1" ht="14.25" customHeight="1" x14ac:dyDescent="0.35"/>
    <row r="109" customFormat="1" ht="14.25" customHeight="1" x14ac:dyDescent="0.35"/>
    <row r="110" customFormat="1" ht="14.25" customHeight="1" x14ac:dyDescent="0.35"/>
    <row r="111" customFormat="1" ht="14.25" customHeight="1" x14ac:dyDescent="0.35"/>
    <row r="112" customFormat="1" ht="14.25" customHeight="1" x14ac:dyDescent="0.35"/>
    <row r="113" customFormat="1" ht="14.25" customHeight="1" x14ac:dyDescent="0.35"/>
    <row r="114" customFormat="1" ht="14.25" customHeight="1" x14ac:dyDescent="0.35"/>
    <row r="115" customFormat="1" ht="14.25" customHeight="1" x14ac:dyDescent="0.35"/>
    <row r="116" customFormat="1" ht="14.25" customHeight="1" x14ac:dyDescent="0.35"/>
    <row r="117" customFormat="1" ht="14.25" customHeight="1" x14ac:dyDescent="0.35"/>
    <row r="118" customFormat="1" ht="14.25" customHeight="1" x14ac:dyDescent="0.35"/>
    <row r="119" customFormat="1" ht="14.25" customHeight="1" x14ac:dyDescent="0.35"/>
    <row r="120" customFormat="1" ht="14.25" customHeight="1" x14ac:dyDescent="0.35"/>
    <row r="121" customFormat="1" ht="14.25" customHeight="1" x14ac:dyDescent="0.35"/>
    <row r="122" customFormat="1" ht="14.25" customHeight="1" x14ac:dyDescent="0.35"/>
    <row r="123" customFormat="1" ht="14.25" customHeight="1" x14ac:dyDescent="0.35"/>
    <row r="124" customFormat="1" ht="14.25" customHeight="1" x14ac:dyDescent="0.35"/>
    <row r="125" customFormat="1" ht="14.25" customHeight="1" x14ac:dyDescent="0.35"/>
    <row r="126" customFormat="1" ht="14.25" customHeight="1" x14ac:dyDescent="0.35"/>
    <row r="127" customFormat="1" ht="14.25" customHeight="1" x14ac:dyDescent="0.35"/>
    <row r="128" customFormat="1" ht="14.25" customHeight="1" x14ac:dyDescent="0.35"/>
    <row r="129" customFormat="1" ht="14.25" customHeight="1" x14ac:dyDescent="0.35"/>
    <row r="130" customFormat="1" ht="14.25" customHeight="1" x14ac:dyDescent="0.35"/>
    <row r="131" customFormat="1" ht="14.25" customHeight="1" x14ac:dyDescent="0.35"/>
    <row r="132" customFormat="1" ht="14.25" customHeight="1" x14ac:dyDescent="0.35"/>
    <row r="133" customFormat="1" ht="14.25" customHeight="1" x14ac:dyDescent="0.35"/>
    <row r="134" customFormat="1" ht="14.25" customHeight="1" x14ac:dyDescent="0.35"/>
    <row r="135" customFormat="1" ht="14.25" customHeight="1" x14ac:dyDescent="0.35"/>
    <row r="136" customFormat="1" ht="14.25" customHeight="1" x14ac:dyDescent="0.35"/>
    <row r="137" customFormat="1" ht="14.25" customHeight="1" x14ac:dyDescent="0.35"/>
    <row r="138" customFormat="1" ht="14.25" customHeight="1" x14ac:dyDescent="0.35"/>
    <row r="139" customFormat="1" ht="14.25" customHeight="1" x14ac:dyDescent="0.35"/>
    <row r="140" customFormat="1" ht="14.25" customHeight="1" x14ac:dyDescent="0.35"/>
    <row r="141" customFormat="1" ht="14.25" customHeight="1" x14ac:dyDescent="0.35"/>
    <row r="142" customFormat="1" ht="14.25" customHeight="1" x14ac:dyDescent="0.35"/>
    <row r="143" customFormat="1" ht="14.25" customHeight="1" x14ac:dyDescent="0.35"/>
    <row r="144" customFormat="1" ht="14.25" customHeight="1" x14ac:dyDescent="0.35"/>
    <row r="145" customFormat="1" ht="14.25" customHeight="1" x14ac:dyDescent="0.35"/>
    <row r="146" customFormat="1" ht="14.25" customHeight="1" x14ac:dyDescent="0.35"/>
    <row r="147" customFormat="1" ht="14.25" customHeight="1" x14ac:dyDescent="0.35"/>
    <row r="148" customFormat="1" ht="14.25" customHeight="1" x14ac:dyDescent="0.35"/>
    <row r="149" customFormat="1" ht="14.25" customHeight="1" x14ac:dyDescent="0.35"/>
    <row r="150" customFormat="1" ht="14.25" customHeight="1" x14ac:dyDescent="0.35"/>
    <row r="151" customFormat="1" ht="14.25" customHeight="1" x14ac:dyDescent="0.35"/>
    <row r="152" customFormat="1" ht="14.25" customHeight="1" x14ac:dyDescent="0.35"/>
    <row r="153" customFormat="1" ht="14.25" customHeight="1" x14ac:dyDescent="0.35"/>
    <row r="154" customFormat="1" ht="14.25" customHeight="1" x14ac:dyDescent="0.35"/>
    <row r="155" customFormat="1" ht="14.25" customHeight="1" x14ac:dyDescent="0.35"/>
    <row r="156" customFormat="1" ht="14.25" customHeight="1" x14ac:dyDescent="0.35"/>
    <row r="157" customFormat="1" ht="14.25" customHeight="1" x14ac:dyDescent="0.35"/>
    <row r="158" customFormat="1" ht="14.25" customHeight="1" x14ac:dyDescent="0.35"/>
    <row r="159" customFormat="1" ht="14.25" customHeight="1" x14ac:dyDescent="0.35"/>
    <row r="160" customFormat="1"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5.75" customHeight="1" x14ac:dyDescent="0.35"/>
    <row r="241" customFormat="1" ht="15.75" customHeight="1" x14ac:dyDescent="0.35"/>
    <row r="242" customFormat="1" ht="15.75" customHeight="1" x14ac:dyDescent="0.35"/>
    <row r="243" customFormat="1" ht="15.75" customHeight="1" x14ac:dyDescent="0.35"/>
    <row r="244" customFormat="1" ht="15.75" customHeight="1" x14ac:dyDescent="0.35"/>
    <row r="245" customFormat="1" ht="15.75" customHeight="1" x14ac:dyDescent="0.35"/>
    <row r="246" customFormat="1" ht="15.75" customHeight="1" x14ac:dyDescent="0.35"/>
    <row r="247" customFormat="1" ht="15.75" customHeight="1" x14ac:dyDescent="0.35"/>
    <row r="248" customFormat="1" ht="15.75" customHeight="1" x14ac:dyDescent="0.35"/>
    <row r="249" customFormat="1" ht="15.75" customHeight="1" x14ac:dyDescent="0.35"/>
    <row r="250" customFormat="1" ht="15.75" customHeight="1" x14ac:dyDescent="0.35"/>
    <row r="251" customFormat="1" ht="15.75" customHeight="1" x14ac:dyDescent="0.35"/>
    <row r="252" customFormat="1" ht="15.75" customHeight="1" x14ac:dyDescent="0.35"/>
    <row r="253" customFormat="1" ht="15.75" customHeight="1" x14ac:dyDescent="0.35"/>
    <row r="254" customFormat="1" ht="15.75" customHeight="1" x14ac:dyDescent="0.35"/>
    <row r="255" customFormat="1" ht="15.75" customHeight="1" x14ac:dyDescent="0.35"/>
    <row r="256" customFormat="1" ht="15.75" customHeight="1" x14ac:dyDescent="0.35"/>
    <row r="257" customFormat="1" ht="15.75" customHeight="1" x14ac:dyDescent="0.35"/>
    <row r="258" customFormat="1" ht="15.75" customHeight="1" x14ac:dyDescent="0.35"/>
    <row r="259" customFormat="1" ht="15.75" customHeight="1" x14ac:dyDescent="0.35"/>
    <row r="260" customFormat="1" ht="15.75" customHeight="1" x14ac:dyDescent="0.35"/>
    <row r="261" customFormat="1" ht="15.75" customHeight="1" x14ac:dyDescent="0.35"/>
    <row r="262" customFormat="1" ht="15.75" customHeight="1" x14ac:dyDescent="0.35"/>
    <row r="263" customFormat="1" ht="15.75" customHeight="1" x14ac:dyDescent="0.35"/>
    <row r="264" customFormat="1" ht="15.75" customHeight="1" x14ac:dyDescent="0.35"/>
    <row r="265" customFormat="1" ht="15.75" customHeight="1" x14ac:dyDescent="0.35"/>
    <row r="266" customFormat="1" ht="15.75" customHeight="1" x14ac:dyDescent="0.35"/>
    <row r="267" customFormat="1" ht="15.75" customHeight="1" x14ac:dyDescent="0.35"/>
    <row r="268" customFormat="1" ht="15.75" customHeight="1" x14ac:dyDescent="0.35"/>
    <row r="269" customFormat="1" ht="15.75" customHeight="1" x14ac:dyDescent="0.35"/>
    <row r="270" customFormat="1" ht="15.75" customHeight="1" x14ac:dyDescent="0.35"/>
    <row r="271" customFormat="1" ht="15.75" customHeight="1" x14ac:dyDescent="0.35"/>
    <row r="272" customFormat="1" ht="15.75" customHeight="1" x14ac:dyDescent="0.35"/>
    <row r="273" customFormat="1" ht="15.75" customHeight="1" x14ac:dyDescent="0.35"/>
    <row r="274" customFormat="1" ht="15.75" customHeight="1" x14ac:dyDescent="0.35"/>
    <row r="275" customFormat="1" ht="15.75" customHeight="1" x14ac:dyDescent="0.35"/>
    <row r="276" customFormat="1" ht="15.75" customHeight="1" x14ac:dyDescent="0.35"/>
    <row r="277" customFormat="1" ht="15.75" customHeight="1" x14ac:dyDescent="0.35"/>
    <row r="278" customFormat="1" ht="15.75" customHeight="1" x14ac:dyDescent="0.35"/>
    <row r="279" customFormat="1" ht="15.75" customHeight="1" x14ac:dyDescent="0.35"/>
    <row r="280" customFormat="1" ht="15.75" customHeight="1" x14ac:dyDescent="0.35"/>
    <row r="281" customFormat="1" ht="15.75" customHeight="1" x14ac:dyDescent="0.35"/>
    <row r="282" customFormat="1" ht="15.75" customHeight="1" x14ac:dyDescent="0.35"/>
    <row r="283" customFormat="1" ht="15.75" customHeight="1" x14ac:dyDescent="0.35"/>
    <row r="284" customFormat="1" ht="15.75" customHeight="1" x14ac:dyDescent="0.35"/>
    <row r="285" customFormat="1" ht="15.75" customHeight="1" x14ac:dyDescent="0.35"/>
    <row r="286" customFormat="1" ht="15.75" customHeight="1" x14ac:dyDescent="0.35"/>
    <row r="287" customFormat="1" ht="15.75" customHeight="1" x14ac:dyDescent="0.35"/>
    <row r="288" customFormat="1" ht="15.75" customHeight="1" x14ac:dyDescent="0.35"/>
    <row r="289" customFormat="1" ht="15.75" customHeight="1" x14ac:dyDescent="0.35"/>
    <row r="290" customFormat="1" ht="15.75" customHeight="1" x14ac:dyDescent="0.35"/>
    <row r="291" customFormat="1" ht="15.75" customHeight="1" x14ac:dyDescent="0.35"/>
    <row r="292" customFormat="1" ht="15.75" customHeight="1" x14ac:dyDescent="0.35"/>
    <row r="293" customFormat="1" ht="15.75" customHeight="1" x14ac:dyDescent="0.35"/>
    <row r="294" customFormat="1" ht="15.75" customHeight="1" x14ac:dyDescent="0.35"/>
    <row r="295" customFormat="1" ht="15.75" customHeight="1" x14ac:dyDescent="0.35"/>
    <row r="296" customFormat="1" ht="15.75" customHeight="1" x14ac:dyDescent="0.35"/>
    <row r="297" customFormat="1" ht="15.75" customHeight="1" x14ac:dyDescent="0.35"/>
    <row r="298" customFormat="1" ht="15.75" customHeight="1" x14ac:dyDescent="0.35"/>
    <row r="299" customFormat="1" ht="15.75" customHeight="1" x14ac:dyDescent="0.35"/>
    <row r="300" customFormat="1" ht="15.75" customHeight="1" x14ac:dyDescent="0.35"/>
    <row r="301" customFormat="1" ht="15.75" customHeight="1" x14ac:dyDescent="0.35"/>
    <row r="302" customFormat="1" ht="15.75" customHeight="1" x14ac:dyDescent="0.35"/>
    <row r="303" customFormat="1" ht="15.75" customHeight="1" x14ac:dyDescent="0.35"/>
    <row r="304" customFormat="1" ht="15.75" customHeight="1" x14ac:dyDescent="0.35"/>
    <row r="305" customFormat="1" ht="15.75" customHeight="1" x14ac:dyDescent="0.35"/>
    <row r="306" customFormat="1" ht="15.75" customHeight="1" x14ac:dyDescent="0.35"/>
    <row r="307" customFormat="1" ht="15.75" customHeight="1" x14ac:dyDescent="0.35"/>
    <row r="308" customFormat="1" ht="15.75" customHeight="1" x14ac:dyDescent="0.35"/>
    <row r="309" customFormat="1" ht="15.75" customHeight="1" x14ac:dyDescent="0.35"/>
    <row r="310" customFormat="1" ht="15.75" customHeight="1" x14ac:dyDescent="0.35"/>
    <row r="311" customFormat="1" ht="15.75" customHeight="1" x14ac:dyDescent="0.35"/>
    <row r="312" customFormat="1" ht="15.75" customHeight="1" x14ac:dyDescent="0.35"/>
    <row r="313" customFormat="1" ht="15.75" customHeight="1" x14ac:dyDescent="0.35"/>
    <row r="314" customFormat="1" ht="15.75" customHeight="1" x14ac:dyDescent="0.35"/>
    <row r="315" customFormat="1" ht="15.75" customHeight="1" x14ac:dyDescent="0.35"/>
    <row r="316" customFormat="1" ht="15.75" customHeight="1" x14ac:dyDescent="0.35"/>
    <row r="317" customFormat="1" ht="15.75" customHeight="1" x14ac:dyDescent="0.35"/>
    <row r="318" customFormat="1" ht="15.75" customHeight="1" x14ac:dyDescent="0.35"/>
    <row r="319" customFormat="1" ht="15.75" customHeight="1" x14ac:dyDescent="0.35"/>
    <row r="320" customFormat="1" ht="15.75" customHeight="1" x14ac:dyDescent="0.35"/>
    <row r="321" customFormat="1" ht="15.75" customHeight="1" x14ac:dyDescent="0.35"/>
    <row r="322" customFormat="1" ht="15.75" customHeight="1" x14ac:dyDescent="0.35"/>
    <row r="323" customFormat="1" ht="15.75" customHeight="1" x14ac:dyDescent="0.35"/>
    <row r="324" customFormat="1" ht="15.75" customHeight="1" x14ac:dyDescent="0.35"/>
    <row r="325" customFormat="1" ht="15.75" customHeight="1" x14ac:dyDescent="0.35"/>
    <row r="326" customFormat="1" ht="15.75" customHeight="1" x14ac:dyDescent="0.35"/>
    <row r="327" customFormat="1" ht="15.75" customHeight="1" x14ac:dyDescent="0.35"/>
    <row r="328" customFormat="1" ht="15.75" customHeight="1" x14ac:dyDescent="0.35"/>
    <row r="329" customFormat="1" ht="15.75" customHeight="1" x14ac:dyDescent="0.35"/>
    <row r="330" customFormat="1" ht="15.75" customHeight="1" x14ac:dyDescent="0.35"/>
    <row r="331" customFormat="1" ht="15.75" customHeight="1" x14ac:dyDescent="0.35"/>
    <row r="332" customFormat="1" ht="15.75" customHeight="1" x14ac:dyDescent="0.35"/>
    <row r="333" customFormat="1" ht="15.75" customHeight="1" x14ac:dyDescent="0.35"/>
    <row r="334" customFormat="1" ht="15.75" customHeight="1" x14ac:dyDescent="0.35"/>
    <row r="335" customFormat="1" ht="15.75" customHeight="1" x14ac:dyDescent="0.35"/>
    <row r="336" customFormat="1" ht="15.75" customHeight="1" x14ac:dyDescent="0.35"/>
    <row r="337" customFormat="1" ht="15.75" customHeight="1" x14ac:dyDescent="0.35"/>
    <row r="338" customFormat="1" ht="15.75" customHeight="1" x14ac:dyDescent="0.35"/>
    <row r="339" customFormat="1" ht="15.75" customHeight="1" x14ac:dyDescent="0.35"/>
    <row r="340" customFormat="1" ht="15.75" customHeight="1" x14ac:dyDescent="0.35"/>
    <row r="341" customFormat="1" ht="15.75" customHeight="1" x14ac:dyDescent="0.35"/>
    <row r="342" customFormat="1" ht="15.75" customHeight="1" x14ac:dyDescent="0.35"/>
    <row r="343" customFormat="1" ht="15.75" customHeight="1" x14ac:dyDescent="0.35"/>
    <row r="344" customFormat="1" ht="15.75" customHeight="1" x14ac:dyDescent="0.35"/>
    <row r="345" customFormat="1" ht="15.75" customHeight="1" x14ac:dyDescent="0.35"/>
    <row r="346" customFormat="1" ht="15.75" customHeight="1" x14ac:dyDescent="0.35"/>
    <row r="347" customFormat="1" ht="15.75" customHeight="1" x14ac:dyDescent="0.35"/>
    <row r="348" customFormat="1" ht="15.75" customHeight="1" x14ac:dyDescent="0.35"/>
    <row r="349" customFormat="1" ht="15.75" customHeight="1" x14ac:dyDescent="0.35"/>
    <row r="350" customFormat="1" ht="15.75" customHeight="1" x14ac:dyDescent="0.35"/>
    <row r="351" customFormat="1" ht="15.75" customHeight="1" x14ac:dyDescent="0.35"/>
    <row r="352" customFormat="1" ht="15.75" customHeight="1" x14ac:dyDescent="0.35"/>
    <row r="353" customFormat="1" ht="15.75" customHeight="1" x14ac:dyDescent="0.35"/>
    <row r="354" customFormat="1" ht="15.75" customHeight="1" x14ac:dyDescent="0.35"/>
    <row r="355" customFormat="1" ht="15.75" customHeight="1" x14ac:dyDescent="0.35"/>
    <row r="356" customFormat="1" ht="15.75" customHeight="1" x14ac:dyDescent="0.35"/>
    <row r="357" customFormat="1" ht="15.75" customHeight="1" x14ac:dyDescent="0.35"/>
    <row r="358" customFormat="1" ht="15.75" customHeight="1" x14ac:dyDescent="0.35"/>
    <row r="359" customFormat="1" ht="15.75" customHeight="1" x14ac:dyDescent="0.35"/>
    <row r="360" customFormat="1" ht="15.75" customHeight="1" x14ac:dyDescent="0.35"/>
    <row r="361" customFormat="1" ht="15.75" customHeight="1" x14ac:dyDescent="0.35"/>
    <row r="362" customFormat="1" ht="15.75" customHeight="1" x14ac:dyDescent="0.35"/>
    <row r="363" customFormat="1" ht="15.75" customHeight="1" x14ac:dyDescent="0.35"/>
    <row r="364" customFormat="1" ht="15.75" customHeight="1" x14ac:dyDescent="0.35"/>
    <row r="365" customFormat="1" ht="15.75" customHeight="1" x14ac:dyDescent="0.35"/>
    <row r="366" customFormat="1" ht="15.75" customHeight="1" x14ac:dyDescent="0.35"/>
    <row r="367" customFormat="1" ht="15.75" customHeight="1" x14ac:dyDescent="0.35"/>
    <row r="368" customFormat="1" ht="15.75" customHeight="1" x14ac:dyDescent="0.35"/>
    <row r="369" customFormat="1" ht="15.75" customHeight="1" x14ac:dyDescent="0.35"/>
    <row r="370" customFormat="1" ht="15.75" customHeight="1" x14ac:dyDescent="0.35"/>
    <row r="371" customFormat="1" ht="15.75" customHeight="1" x14ac:dyDescent="0.35"/>
    <row r="372" customFormat="1" ht="15.75" customHeight="1" x14ac:dyDescent="0.35"/>
    <row r="373" customFormat="1" ht="15.75" customHeight="1" x14ac:dyDescent="0.35"/>
    <row r="374" customFormat="1" ht="15.75" customHeight="1" x14ac:dyDescent="0.35"/>
    <row r="375" customFormat="1" ht="15.75" customHeight="1" x14ac:dyDescent="0.35"/>
    <row r="376" customFormat="1" ht="15.75" customHeight="1" x14ac:dyDescent="0.35"/>
    <row r="377" customFormat="1" ht="15.75" customHeight="1" x14ac:dyDescent="0.35"/>
    <row r="378" customFormat="1" ht="15.75" customHeight="1" x14ac:dyDescent="0.35"/>
    <row r="379" customFormat="1" ht="15.75" customHeight="1" x14ac:dyDescent="0.35"/>
    <row r="380" customFormat="1" ht="15.75" customHeight="1" x14ac:dyDescent="0.35"/>
    <row r="381" customFormat="1" ht="15.75" customHeight="1" x14ac:dyDescent="0.35"/>
    <row r="382" customFormat="1" ht="15.75" customHeight="1" x14ac:dyDescent="0.35"/>
    <row r="383" customFormat="1" ht="15.75" customHeight="1" x14ac:dyDescent="0.35"/>
    <row r="384" customFormat="1" ht="15.75" customHeight="1" x14ac:dyDescent="0.35"/>
    <row r="385" customFormat="1" ht="15.75" customHeight="1" x14ac:dyDescent="0.35"/>
    <row r="386" customFormat="1" ht="15.75" customHeight="1" x14ac:dyDescent="0.35"/>
    <row r="387" customFormat="1" ht="15.75" customHeight="1" x14ac:dyDescent="0.35"/>
    <row r="388" customFormat="1" ht="15.75" customHeight="1" x14ac:dyDescent="0.35"/>
    <row r="389" customFormat="1" ht="15.75" customHeight="1" x14ac:dyDescent="0.35"/>
    <row r="390" customFormat="1" ht="15.75" customHeight="1" x14ac:dyDescent="0.35"/>
    <row r="391" customFormat="1" ht="15.75" customHeight="1" x14ac:dyDescent="0.35"/>
    <row r="392" customFormat="1" ht="15.75" customHeight="1" x14ac:dyDescent="0.35"/>
    <row r="393" customFormat="1" ht="15.75" customHeight="1" x14ac:dyDescent="0.35"/>
    <row r="394" customFormat="1" ht="15.75" customHeight="1" x14ac:dyDescent="0.35"/>
    <row r="395" customFormat="1" ht="15.75" customHeight="1" x14ac:dyDescent="0.35"/>
    <row r="396" customFormat="1" ht="15.75" customHeight="1" x14ac:dyDescent="0.35"/>
    <row r="397" customFormat="1" ht="15.75" customHeight="1" x14ac:dyDescent="0.35"/>
    <row r="398" customFormat="1" ht="15.75" customHeight="1" x14ac:dyDescent="0.35"/>
    <row r="399" customFormat="1" ht="15.75" customHeight="1" x14ac:dyDescent="0.35"/>
    <row r="400" customFormat="1" ht="15.75" customHeight="1" x14ac:dyDescent="0.35"/>
    <row r="401" customFormat="1" ht="15.75" customHeight="1" x14ac:dyDescent="0.35"/>
    <row r="402" customFormat="1" ht="15.75" customHeight="1" x14ac:dyDescent="0.35"/>
    <row r="403" customFormat="1" ht="15.75" customHeight="1" x14ac:dyDescent="0.35"/>
    <row r="404" customFormat="1" ht="15.75" customHeight="1" x14ac:dyDescent="0.35"/>
    <row r="405" customFormat="1" ht="15.75" customHeight="1" x14ac:dyDescent="0.35"/>
    <row r="406" customFormat="1" ht="15.75" customHeight="1" x14ac:dyDescent="0.35"/>
    <row r="407" customFormat="1" ht="15.75" customHeight="1" x14ac:dyDescent="0.35"/>
    <row r="408" customFormat="1" ht="15.75" customHeight="1" x14ac:dyDescent="0.35"/>
    <row r="409" customFormat="1" ht="15.75" customHeight="1" x14ac:dyDescent="0.35"/>
    <row r="410" customFormat="1" ht="15.75" customHeight="1" x14ac:dyDescent="0.35"/>
    <row r="411" customFormat="1" ht="15.75" customHeight="1" x14ac:dyDescent="0.35"/>
    <row r="412" customFormat="1" ht="15.75" customHeight="1" x14ac:dyDescent="0.35"/>
    <row r="413" customFormat="1" ht="15.75" customHeight="1" x14ac:dyDescent="0.35"/>
    <row r="414" customFormat="1" ht="15.75" customHeight="1" x14ac:dyDescent="0.35"/>
    <row r="415" customFormat="1" ht="15.75" customHeight="1" x14ac:dyDescent="0.35"/>
    <row r="416" customFormat="1" ht="15.75" customHeight="1" x14ac:dyDescent="0.35"/>
    <row r="417" customFormat="1" ht="15.75" customHeight="1" x14ac:dyDescent="0.35"/>
    <row r="418" customFormat="1" ht="15.75" customHeight="1" x14ac:dyDescent="0.35"/>
    <row r="419" customFormat="1" ht="15.75" customHeight="1" x14ac:dyDescent="0.35"/>
    <row r="420" customFormat="1" ht="15.75" customHeight="1" x14ac:dyDescent="0.35"/>
    <row r="421" customFormat="1" ht="15.75" customHeight="1" x14ac:dyDescent="0.35"/>
    <row r="422" customFormat="1" ht="15.75" customHeight="1" x14ac:dyDescent="0.35"/>
    <row r="423" customFormat="1" ht="15.75" customHeight="1" x14ac:dyDescent="0.35"/>
    <row r="424" customFormat="1" ht="15.75" customHeight="1" x14ac:dyDescent="0.35"/>
    <row r="425" customFormat="1" ht="15.75" customHeight="1" x14ac:dyDescent="0.35"/>
    <row r="426" customFormat="1" ht="15.75" customHeight="1" x14ac:dyDescent="0.35"/>
    <row r="427" customFormat="1" ht="15.75" customHeight="1" x14ac:dyDescent="0.35"/>
    <row r="428" customFormat="1" ht="15.75" customHeight="1" x14ac:dyDescent="0.35"/>
    <row r="429" customFormat="1" ht="15.75" customHeight="1" x14ac:dyDescent="0.35"/>
    <row r="430" customFormat="1" ht="15.75" customHeight="1" x14ac:dyDescent="0.35"/>
    <row r="431" customFormat="1" ht="15.75" customHeight="1" x14ac:dyDescent="0.35"/>
    <row r="432" customFormat="1" ht="15.75" customHeight="1" x14ac:dyDescent="0.35"/>
    <row r="433" customFormat="1" ht="15.75" customHeight="1" x14ac:dyDescent="0.35"/>
    <row r="434" customFormat="1" ht="15.75" customHeight="1" x14ac:dyDescent="0.35"/>
    <row r="435" customFormat="1" ht="15.75" customHeight="1" x14ac:dyDescent="0.35"/>
    <row r="436" customFormat="1" ht="15.75" customHeight="1" x14ac:dyDescent="0.35"/>
    <row r="437" customFormat="1" ht="15.75" customHeight="1" x14ac:dyDescent="0.35"/>
    <row r="438" customFormat="1" ht="15.75" customHeight="1" x14ac:dyDescent="0.35"/>
    <row r="439" customFormat="1" ht="15.75" customHeight="1" x14ac:dyDescent="0.35"/>
    <row r="440" customFormat="1" ht="15.75" customHeight="1" x14ac:dyDescent="0.35"/>
    <row r="441" customFormat="1" ht="15.75" customHeight="1" x14ac:dyDescent="0.35"/>
    <row r="442" customFormat="1" ht="15.75" customHeight="1" x14ac:dyDescent="0.35"/>
    <row r="443" customFormat="1" ht="15.75" customHeight="1" x14ac:dyDescent="0.35"/>
    <row r="444" customFormat="1" ht="15.75" customHeight="1" x14ac:dyDescent="0.35"/>
    <row r="445" customFormat="1" ht="15.75" customHeight="1" x14ac:dyDescent="0.35"/>
    <row r="446" customFormat="1" ht="15.75" customHeight="1" x14ac:dyDescent="0.35"/>
    <row r="447" customFormat="1" ht="15.75" customHeight="1" x14ac:dyDescent="0.35"/>
    <row r="448" customFormat="1" ht="15.75" customHeight="1" x14ac:dyDescent="0.35"/>
    <row r="449" customFormat="1" ht="15.75" customHeight="1" x14ac:dyDescent="0.35"/>
    <row r="450" customFormat="1" ht="15.75" customHeight="1" x14ac:dyDescent="0.35"/>
    <row r="451" customFormat="1" ht="15.75" customHeight="1" x14ac:dyDescent="0.35"/>
    <row r="452" customFormat="1" ht="15.75" customHeight="1" x14ac:dyDescent="0.35"/>
    <row r="453" customFormat="1" ht="15.75" customHeight="1" x14ac:dyDescent="0.35"/>
    <row r="454" customFormat="1" ht="15.75" customHeight="1" x14ac:dyDescent="0.35"/>
    <row r="455" customFormat="1" ht="15.75" customHeight="1" x14ac:dyDescent="0.35"/>
    <row r="456" customFormat="1" ht="15.75" customHeight="1" x14ac:dyDescent="0.35"/>
    <row r="457" customFormat="1" ht="15.75" customHeight="1" x14ac:dyDescent="0.35"/>
    <row r="458" customFormat="1" ht="15.75" customHeight="1" x14ac:dyDescent="0.35"/>
    <row r="459" customFormat="1" ht="15.75" customHeight="1" x14ac:dyDescent="0.35"/>
    <row r="460" customFormat="1" ht="15.75" customHeight="1" x14ac:dyDescent="0.35"/>
    <row r="461" customFormat="1" ht="15.75" customHeight="1" x14ac:dyDescent="0.35"/>
    <row r="462" customFormat="1" ht="15.75" customHeight="1" x14ac:dyDescent="0.35"/>
    <row r="463" customFormat="1" ht="15.75" customHeight="1" x14ac:dyDescent="0.35"/>
    <row r="464" customFormat="1" ht="15.75" customHeight="1" x14ac:dyDescent="0.35"/>
    <row r="465" customFormat="1" ht="15.75" customHeight="1" x14ac:dyDescent="0.35"/>
    <row r="466" customFormat="1" ht="15.75" customHeight="1" x14ac:dyDescent="0.35"/>
    <row r="467" customFormat="1" ht="15.75" customHeight="1" x14ac:dyDescent="0.35"/>
    <row r="468" customFormat="1" ht="15.75" customHeight="1" x14ac:dyDescent="0.35"/>
    <row r="469" customFormat="1" ht="15.75" customHeight="1" x14ac:dyDescent="0.35"/>
    <row r="470" customFormat="1" ht="15.75" customHeight="1" x14ac:dyDescent="0.35"/>
    <row r="471" customFormat="1" ht="15.75" customHeight="1" x14ac:dyDescent="0.35"/>
    <row r="472" customFormat="1" ht="15.75" customHeight="1" x14ac:dyDescent="0.35"/>
    <row r="473" customFormat="1" ht="15.75" customHeight="1" x14ac:dyDescent="0.35"/>
    <row r="474" customFormat="1" ht="15.75" customHeight="1" x14ac:dyDescent="0.35"/>
    <row r="475" customFormat="1" ht="15.75" customHeight="1" x14ac:dyDescent="0.35"/>
    <row r="476" customFormat="1" ht="15.75" customHeight="1" x14ac:dyDescent="0.35"/>
    <row r="477" customFormat="1" ht="15.75" customHeight="1" x14ac:dyDescent="0.35"/>
    <row r="478" customFormat="1" ht="15.75" customHeight="1" x14ac:dyDescent="0.35"/>
    <row r="479" customFormat="1" ht="15.75" customHeight="1" x14ac:dyDescent="0.35"/>
    <row r="480" customFormat="1" ht="15.75" customHeight="1" x14ac:dyDescent="0.35"/>
    <row r="481" customFormat="1" ht="15.75" customHeight="1" x14ac:dyDescent="0.35"/>
    <row r="482" customFormat="1" ht="15.75" customHeight="1" x14ac:dyDescent="0.35"/>
    <row r="483" customFormat="1" ht="15.75" customHeight="1" x14ac:dyDescent="0.35"/>
    <row r="484" customFormat="1" ht="15.75" customHeight="1" x14ac:dyDescent="0.35"/>
    <row r="485" customFormat="1" ht="15.75" customHeight="1" x14ac:dyDescent="0.35"/>
    <row r="486" customFormat="1" ht="15.75" customHeight="1" x14ac:dyDescent="0.35"/>
    <row r="487" customFormat="1" ht="15.75" customHeight="1" x14ac:dyDescent="0.35"/>
    <row r="488" customFormat="1" ht="15.75" customHeight="1" x14ac:dyDescent="0.35"/>
    <row r="489" customFormat="1" ht="15.75" customHeight="1" x14ac:dyDescent="0.35"/>
    <row r="490" customFormat="1" ht="15.75" customHeight="1" x14ac:dyDescent="0.35"/>
    <row r="491" customFormat="1" ht="15.75" customHeight="1" x14ac:dyDescent="0.35"/>
    <row r="492" customFormat="1" ht="15.75" customHeight="1" x14ac:dyDescent="0.35"/>
    <row r="493" customFormat="1" ht="15.75" customHeight="1" x14ac:dyDescent="0.35"/>
    <row r="494" customFormat="1" ht="15.75" customHeight="1" x14ac:dyDescent="0.35"/>
    <row r="495" customFormat="1" ht="15.75" customHeight="1" x14ac:dyDescent="0.35"/>
    <row r="496" customFormat="1" ht="15.75" customHeight="1" x14ac:dyDescent="0.35"/>
    <row r="497" customFormat="1" ht="15.75" customHeight="1" x14ac:dyDescent="0.35"/>
    <row r="498" customFormat="1" ht="15.75" customHeight="1" x14ac:dyDescent="0.35"/>
    <row r="499" customFormat="1" ht="15.75" customHeight="1" x14ac:dyDescent="0.35"/>
    <row r="500" customFormat="1" ht="15.75" customHeight="1" x14ac:dyDescent="0.35"/>
    <row r="501" customFormat="1" ht="15.75" customHeight="1" x14ac:dyDescent="0.35"/>
    <row r="502" customFormat="1" ht="15.75" customHeight="1" x14ac:dyDescent="0.35"/>
    <row r="503" customFormat="1" ht="15.75" customHeight="1" x14ac:dyDescent="0.35"/>
    <row r="504" customFormat="1" ht="15.75" customHeight="1" x14ac:dyDescent="0.35"/>
    <row r="505" customFormat="1" ht="15.75" customHeight="1" x14ac:dyDescent="0.35"/>
    <row r="506" customFormat="1" ht="15.75" customHeight="1" x14ac:dyDescent="0.35"/>
    <row r="507" customFormat="1" ht="15.75" customHeight="1" x14ac:dyDescent="0.35"/>
    <row r="508" customFormat="1" ht="15.75" customHeight="1" x14ac:dyDescent="0.35"/>
    <row r="509" customFormat="1" ht="15.75" customHeight="1" x14ac:dyDescent="0.35"/>
    <row r="510" customFormat="1" ht="15.75" customHeight="1" x14ac:dyDescent="0.35"/>
    <row r="511" customFormat="1" ht="15.75" customHeight="1" x14ac:dyDescent="0.35"/>
    <row r="512" customFormat="1" ht="15.75" customHeight="1" x14ac:dyDescent="0.35"/>
    <row r="513" customFormat="1" ht="15.75" customHeight="1" x14ac:dyDescent="0.35"/>
    <row r="514" customFormat="1" ht="15.75" customHeight="1" x14ac:dyDescent="0.35"/>
    <row r="515" customFormat="1" ht="15.75" customHeight="1" x14ac:dyDescent="0.35"/>
    <row r="516" customFormat="1" ht="15.75" customHeight="1" x14ac:dyDescent="0.35"/>
    <row r="517" customFormat="1" ht="15.75" customHeight="1" x14ac:dyDescent="0.35"/>
    <row r="518" customFormat="1" ht="15.75" customHeight="1" x14ac:dyDescent="0.35"/>
    <row r="519" customFormat="1" ht="15.75" customHeight="1" x14ac:dyDescent="0.35"/>
    <row r="520" customFormat="1" ht="15.75" customHeight="1" x14ac:dyDescent="0.35"/>
    <row r="521" customFormat="1" ht="15.75" customHeight="1" x14ac:dyDescent="0.35"/>
    <row r="522" customFormat="1" ht="15.75" customHeight="1" x14ac:dyDescent="0.35"/>
    <row r="523" customFormat="1" ht="15.75" customHeight="1" x14ac:dyDescent="0.35"/>
    <row r="524" customFormat="1" ht="15.75" customHeight="1" x14ac:dyDescent="0.35"/>
    <row r="525" customFormat="1" ht="15.75" customHeight="1" x14ac:dyDescent="0.35"/>
    <row r="526" customFormat="1" ht="15.75" customHeight="1" x14ac:dyDescent="0.35"/>
    <row r="527" customFormat="1" ht="15.75" customHeight="1" x14ac:dyDescent="0.35"/>
    <row r="528" customFormat="1" ht="15.75" customHeight="1" x14ac:dyDescent="0.35"/>
    <row r="529" customFormat="1" ht="15.75" customHeight="1" x14ac:dyDescent="0.35"/>
    <row r="530" customFormat="1" ht="15.75" customHeight="1" x14ac:dyDescent="0.35"/>
    <row r="531" customFormat="1" ht="15.75" customHeight="1" x14ac:dyDescent="0.35"/>
    <row r="532" customFormat="1" ht="15.75" customHeight="1" x14ac:dyDescent="0.35"/>
    <row r="533" customFormat="1" ht="15.75" customHeight="1" x14ac:dyDescent="0.35"/>
    <row r="534" customFormat="1" ht="15.75" customHeight="1" x14ac:dyDescent="0.35"/>
    <row r="535" customFormat="1" ht="15.75" customHeight="1" x14ac:dyDescent="0.35"/>
    <row r="536" customFormat="1" ht="15.75" customHeight="1" x14ac:dyDescent="0.35"/>
    <row r="537" customFormat="1" ht="15.75" customHeight="1" x14ac:dyDescent="0.35"/>
    <row r="538" customFormat="1" ht="15.75" customHeight="1" x14ac:dyDescent="0.35"/>
    <row r="539" customFormat="1" ht="15.75" customHeight="1" x14ac:dyDescent="0.35"/>
    <row r="540" customFormat="1" ht="15.75" customHeight="1" x14ac:dyDescent="0.35"/>
    <row r="541" customFormat="1" ht="15.75" customHeight="1" x14ac:dyDescent="0.35"/>
    <row r="542" customFormat="1" ht="15.75" customHeight="1" x14ac:dyDescent="0.35"/>
    <row r="543" customFormat="1" ht="15.75" customHeight="1" x14ac:dyDescent="0.35"/>
    <row r="544" customFormat="1" ht="15.75" customHeight="1" x14ac:dyDescent="0.35"/>
    <row r="545" customFormat="1" ht="15.75" customHeight="1" x14ac:dyDescent="0.35"/>
    <row r="546" customFormat="1" ht="15.75" customHeight="1" x14ac:dyDescent="0.35"/>
    <row r="547" customFormat="1" ht="15.75" customHeight="1" x14ac:dyDescent="0.35"/>
    <row r="548" customFormat="1" ht="15.75" customHeight="1" x14ac:dyDescent="0.35"/>
    <row r="549" customFormat="1" ht="15.75" customHeight="1" x14ac:dyDescent="0.35"/>
    <row r="550" customFormat="1" ht="15.75" customHeight="1" x14ac:dyDescent="0.35"/>
    <row r="551" customFormat="1" ht="15.75" customHeight="1" x14ac:dyDescent="0.35"/>
    <row r="552" customFormat="1" ht="15.75" customHeight="1" x14ac:dyDescent="0.35"/>
    <row r="553" customFormat="1" ht="15.75" customHeight="1" x14ac:dyDescent="0.35"/>
    <row r="554" customFormat="1" ht="15.75" customHeight="1" x14ac:dyDescent="0.35"/>
    <row r="555" customFormat="1" ht="15.75" customHeight="1" x14ac:dyDescent="0.35"/>
    <row r="556" customFormat="1" ht="15.75" customHeight="1" x14ac:dyDescent="0.35"/>
    <row r="557" customFormat="1" ht="15.75" customHeight="1" x14ac:dyDescent="0.35"/>
    <row r="558" customFormat="1" ht="15.75" customHeight="1" x14ac:dyDescent="0.35"/>
    <row r="559" customFormat="1" ht="15.75" customHeight="1" x14ac:dyDescent="0.35"/>
    <row r="560" customFormat="1" ht="15.75" customHeight="1" x14ac:dyDescent="0.35"/>
    <row r="561" customFormat="1" ht="15.75" customHeight="1" x14ac:dyDescent="0.35"/>
    <row r="562" customFormat="1" ht="15.75" customHeight="1" x14ac:dyDescent="0.35"/>
    <row r="563" customFormat="1" ht="15.75" customHeight="1" x14ac:dyDescent="0.35"/>
    <row r="564" customFormat="1" ht="15.75" customHeight="1" x14ac:dyDescent="0.35"/>
    <row r="565" customFormat="1" ht="15.75" customHeight="1" x14ac:dyDescent="0.35"/>
    <row r="566" customFormat="1" ht="15.75" customHeight="1" x14ac:dyDescent="0.35"/>
    <row r="567" customFormat="1" ht="15.75" customHeight="1" x14ac:dyDescent="0.35"/>
    <row r="568" customFormat="1" ht="15.75" customHeight="1" x14ac:dyDescent="0.35"/>
    <row r="569" customFormat="1" ht="15.75" customHeight="1" x14ac:dyDescent="0.35"/>
    <row r="570" customFormat="1" ht="15.75" customHeight="1" x14ac:dyDescent="0.35"/>
    <row r="571" customFormat="1" ht="15.75" customHeight="1" x14ac:dyDescent="0.35"/>
    <row r="572" customFormat="1" ht="15.75" customHeight="1" x14ac:dyDescent="0.35"/>
    <row r="573" customFormat="1" ht="15.75" customHeight="1" x14ac:dyDescent="0.35"/>
    <row r="574" customFormat="1" ht="15.75" customHeight="1" x14ac:dyDescent="0.35"/>
    <row r="575" customFormat="1" ht="15.75" customHeight="1" x14ac:dyDescent="0.35"/>
    <row r="576" customFormat="1" ht="15.75" customHeight="1" x14ac:dyDescent="0.35"/>
    <row r="577" customFormat="1" ht="15.75" customHeight="1" x14ac:dyDescent="0.35"/>
    <row r="578" customFormat="1" ht="15.75" customHeight="1" x14ac:dyDescent="0.35"/>
    <row r="579" customFormat="1" ht="15.75" customHeight="1" x14ac:dyDescent="0.35"/>
    <row r="580" customFormat="1" ht="15.75" customHeight="1" x14ac:dyDescent="0.35"/>
    <row r="581" customFormat="1" ht="15.75" customHeight="1" x14ac:dyDescent="0.35"/>
    <row r="582" customFormat="1" ht="15.75" customHeight="1" x14ac:dyDescent="0.35"/>
    <row r="583" customFormat="1" ht="15.75" customHeight="1" x14ac:dyDescent="0.35"/>
    <row r="584" customFormat="1" ht="15.75" customHeight="1" x14ac:dyDescent="0.35"/>
    <row r="585" customFormat="1" ht="15.75" customHeight="1" x14ac:dyDescent="0.35"/>
    <row r="586" customFormat="1" ht="15.75" customHeight="1" x14ac:dyDescent="0.35"/>
    <row r="587" customFormat="1" ht="15.75" customHeight="1" x14ac:dyDescent="0.35"/>
    <row r="588" customFormat="1" ht="15.75" customHeight="1" x14ac:dyDescent="0.35"/>
    <row r="589" customFormat="1" ht="15.75" customHeight="1" x14ac:dyDescent="0.35"/>
    <row r="590" customFormat="1" ht="15.75" customHeight="1" x14ac:dyDescent="0.35"/>
    <row r="591" customFormat="1" ht="15.75" customHeight="1" x14ac:dyDescent="0.35"/>
    <row r="592" customFormat="1" ht="15.75" customHeight="1" x14ac:dyDescent="0.35"/>
    <row r="593" customFormat="1" ht="15.75" customHeight="1" x14ac:dyDescent="0.35"/>
    <row r="594" customFormat="1" ht="15.75" customHeight="1" x14ac:dyDescent="0.35"/>
    <row r="595" customFormat="1" ht="15.75" customHeight="1" x14ac:dyDescent="0.35"/>
    <row r="596" customFormat="1" ht="15.75" customHeight="1" x14ac:dyDescent="0.35"/>
    <row r="597" customFormat="1" ht="15.75" customHeight="1" x14ac:dyDescent="0.35"/>
    <row r="598" customFormat="1" ht="15.75" customHeight="1" x14ac:dyDescent="0.35"/>
    <row r="599" customFormat="1" ht="15.75" customHeight="1" x14ac:dyDescent="0.35"/>
    <row r="600" customFormat="1" ht="15.75" customHeight="1" x14ac:dyDescent="0.35"/>
    <row r="601" customFormat="1" ht="15.75" customHeight="1" x14ac:dyDescent="0.35"/>
    <row r="602" customFormat="1" ht="15.75" customHeight="1" x14ac:dyDescent="0.35"/>
    <row r="603" customFormat="1" ht="15.75" customHeight="1" x14ac:dyDescent="0.35"/>
    <row r="604" customFormat="1" ht="15.75" customHeight="1" x14ac:dyDescent="0.35"/>
    <row r="605" customFormat="1" ht="15.75" customHeight="1" x14ac:dyDescent="0.35"/>
    <row r="606" customFormat="1" ht="15.75" customHeight="1" x14ac:dyDescent="0.35"/>
    <row r="607" customFormat="1" ht="15.75" customHeight="1" x14ac:dyDescent="0.35"/>
    <row r="608" customFormat="1" ht="15.75" customHeight="1" x14ac:dyDescent="0.35"/>
    <row r="609" customFormat="1" ht="15.75" customHeight="1" x14ac:dyDescent="0.35"/>
    <row r="610" customFormat="1" ht="15.75" customHeight="1" x14ac:dyDescent="0.35"/>
    <row r="611" customFormat="1" ht="15.75" customHeight="1" x14ac:dyDescent="0.35"/>
    <row r="612" customFormat="1" ht="15.75" customHeight="1" x14ac:dyDescent="0.35"/>
    <row r="613" customFormat="1" ht="15.75" customHeight="1" x14ac:dyDescent="0.35"/>
    <row r="614" customFormat="1" ht="15.75" customHeight="1" x14ac:dyDescent="0.35"/>
    <row r="615" customFormat="1" ht="15.75" customHeight="1" x14ac:dyDescent="0.35"/>
    <row r="616" customFormat="1" ht="15.75" customHeight="1" x14ac:dyDescent="0.35"/>
    <row r="617" customFormat="1" ht="15.75" customHeight="1" x14ac:dyDescent="0.35"/>
    <row r="618" customFormat="1" ht="15.75" customHeight="1" x14ac:dyDescent="0.35"/>
    <row r="619" customFormat="1" ht="15.75" customHeight="1" x14ac:dyDescent="0.35"/>
    <row r="620" customFormat="1" ht="15.75" customHeight="1" x14ac:dyDescent="0.35"/>
    <row r="621" customFormat="1" ht="15.75" customHeight="1" x14ac:dyDescent="0.35"/>
    <row r="622" customFormat="1" ht="15.75" customHeight="1" x14ac:dyDescent="0.35"/>
    <row r="623" customFormat="1" ht="15.75" customHeight="1" x14ac:dyDescent="0.35"/>
    <row r="624" customFormat="1" ht="15.75" customHeight="1" x14ac:dyDescent="0.35"/>
    <row r="625" customFormat="1" ht="15.75" customHeight="1" x14ac:dyDescent="0.35"/>
    <row r="626" customFormat="1" ht="15.75" customHeight="1" x14ac:dyDescent="0.35"/>
    <row r="627" customFormat="1" ht="15.75" customHeight="1" x14ac:dyDescent="0.35"/>
    <row r="628" customFormat="1" ht="15.75" customHeight="1" x14ac:dyDescent="0.35"/>
    <row r="629" customFormat="1" ht="15.75" customHeight="1" x14ac:dyDescent="0.35"/>
    <row r="630" customFormat="1" ht="15.75" customHeight="1" x14ac:dyDescent="0.35"/>
    <row r="631" customFormat="1" ht="15.75" customHeight="1" x14ac:dyDescent="0.35"/>
    <row r="632" customFormat="1" ht="15.75" customHeight="1" x14ac:dyDescent="0.35"/>
    <row r="633" customFormat="1" ht="15.75" customHeight="1" x14ac:dyDescent="0.35"/>
    <row r="634" customFormat="1" ht="15.75" customHeight="1" x14ac:dyDescent="0.35"/>
    <row r="635" customFormat="1" ht="15.75" customHeight="1" x14ac:dyDescent="0.35"/>
    <row r="636" customFormat="1" ht="15.75" customHeight="1" x14ac:dyDescent="0.35"/>
    <row r="637" customFormat="1" ht="15.75" customHeight="1" x14ac:dyDescent="0.35"/>
    <row r="638" customFormat="1" ht="15.75" customHeight="1" x14ac:dyDescent="0.35"/>
    <row r="639" customFormat="1" ht="15.75" customHeight="1" x14ac:dyDescent="0.35"/>
    <row r="640" customFormat="1" ht="15.75" customHeight="1" x14ac:dyDescent="0.35"/>
    <row r="641" customFormat="1" ht="15.75" customHeight="1" x14ac:dyDescent="0.35"/>
    <row r="642" customFormat="1" ht="15.75" customHeight="1" x14ac:dyDescent="0.35"/>
    <row r="643" customFormat="1" ht="15.75" customHeight="1" x14ac:dyDescent="0.35"/>
    <row r="644" customFormat="1" ht="15.75" customHeight="1" x14ac:dyDescent="0.35"/>
    <row r="645" customFormat="1" ht="15.75" customHeight="1" x14ac:dyDescent="0.35"/>
    <row r="646" customFormat="1" ht="15.75" customHeight="1" x14ac:dyDescent="0.35"/>
    <row r="647" customFormat="1" ht="15.75" customHeight="1" x14ac:dyDescent="0.35"/>
    <row r="648" customFormat="1" ht="15.75" customHeight="1" x14ac:dyDescent="0.35"/>
    <row r="649" customFormat="1" ht="15.75" customHeight="1" x14ac:dyDescent="0.35"/>
    <row r="650" customFormat="1" ht="15.75" customHeight="1" x14ac:dyDescent="0.35"/>
    <row r="651" customFormat="1" ht="15.75" customHeight="1" x14ac:dyDescent="0.35"/>
    <row r="652" customFormat="1" ht="15.75" customHeight="1" x14ac:dyDescent="0.35"/>
    <row r="653" customFormat="1" ht="15.75" customHeight="1" x14ac:dyDescent="0.35"/>
    <row r="654" customFormat="1" ht="15.75" customHeight="1" x14ac:dyDescent="0.35"/>
    <row r="655" customFormat="1" ht="15.75" customHeight="1" x14ac:dyDescent="0.35"/>
    <row r="656" customFormat="1" ht="15.75" customHeight="1" x14ac:dyDescent="0.35"/>
    <row r="657" customFormat="1" ht="15.75" customHeight="1" x14ac:dyDescent="0.35"/>
    <row r="658" customFormat="1" ht="15.75" customHeight="1" x14ac:dyDescent="0.35"/>
    <row r="659" customFormat="1" ht="15.75" customHeight="1" x14ac:dyDescent="0.35"/>
    <row r="660" customFormat="1" ht="15.75" customHeight="1" x14ac:dyDescent="0.35"/>
    <row r="661" customFormat="1" ht="15.75" customHeight="1" x14ac:dyDescent="0.35"/>
    <row r="662" customFormat="1" ht="15.75" customHeight="1" x14ac:dyDescent="0.35"/>
    <row r="663" customFormat="1" ht="15.75" customHeight="1" x14ac:dyDescent="0.35"/>
    <row r="664" customFormat="1" ht="15.75" customHeight="1" x14ac:dyDescent="0.35"/>
    <row r="665" customFormat="1" ht="15.75" customHeight="1" x14ac:dyDescent="0.35"/>
    <row r="666" customFormat="1" ht="15.75" customHeight="1" x14ac:dyDescent="0.35"/>
    <row r="667" customFormat="1" ht="15.75" customHeight="1" x14ac:dyDescent="0.35"/>
    <row r="668" customFormat="1" ht="15.75" customHeight="1" x14ac:dyDescent="0.35"/>
    <row r="669" customFormat="1" ht="15.75" customHeight="1" x14ac:dyDescent="0.35"/>
    <row r="670" customFormat="1" ht="15.75" customHeight="1" x14ac:dyDescent="0.35"/>
    <row r="671" customFormat="1" ht="15.75" customHeight="1" x14ac:dyDescent="0.35"/>
    <row r="672" customFormat="1" ht="15.75" customHeight="1" x14ac:dyDescent="0.35"/>
    <row r="673" customFormat="1" ht="15.75" customHeight="1" x14ac:dyDescent="0.35"/>
    <row r="674" customFormat="1" ht="15.75" customHeight="1" x14ac:dyDescent="0.35"/>
    <row r="675" customFormat="1" ht="15.75" customHeight="1" x14ac:dyDescent="0.35"/>
    <row r="676" customFormat="1" ht="15.75" customHeight="1" x14ac:dyDescent="0.35"/>
    <row r="677" customFormat="1" ht="15.75" customHeight="1" x14ac:dyDescent="0.35"/>
    <row r="678" customFormat="1" ht="15.75" customHeight="1" x14ac:dyDescent="0.35"/>
    <row r="679" customFormat="1" ht="15.75" customHeight="1" x14ac:dyDescent="0.35"/>
    <row r="680" customFormat="1" ht="15.75" customHeight="1" x14ac:dyDescent="0.35"/>
    <row r="681" customFormat="1" ht="15.75" customHeight="1" x14ac:dyDescent="0.35"/>
    <row r="682" customFormat="1" ht="15.75" customHeight="1" x14ac:dyDescent="0.35"/>
    <row r="683" customFormat="1" ht="15.75" customHeight="1" x14ac:dyDescent="0.35"/>
    <row r="684" customFormat="1" ht="15.75" customHeight="1" x14ac:dyDescent="0.35"/>
    <row r="685" customFormat="1" ht="15.75" customHeight="1" x14ac:dyDescent="0.35"/>
    <row r="686" customFormat="1" ht="15.75" customHeight="1" x14ac:dyDescent="0.35"/>
    <row r="687" customFormat="1" ht="15.75" customHeight="1" x14ac:dyDescent="0.35"/>
    <row r="688" customFormat="1" ht="15.75" customHeight="1" x14ac:dyDescent="0.35"/>
    <row r="689" customFormat="1" ht="15.75" customHeight="1" x14ac:dyDescent="0.35"/>
    <row r="690" customFormat="1" ht="15.75" customHeight="1" x14ac:dyDescent="0.35"/>
    <row r="691" customFormat="1" ht="15.75" customHeight="1" x14ac:dyDescent="0.35"/>
    <row r="692" customFormat="1" ht="15.75" customHeight="1" x14ac:dyDescent="0.35"/>
    <row r="693" customFormat="1" ht="15.75" customHeight="1" x14ac:dyDescent="0.35"/>
    <row r="694" customFormat="1" ht="15.75" customHeight="1" x14ac:dyDescent="0.35"/>
    <row r="695" customFormat="1" ht="15.75" customHeight="1" x14ac:dyDescent="0.35"/>
    <row r="696" customFormat="1" ht="15.75" customHeight="1" x14ac:dyDescent="0.35"/>
    <row r="697" customFormat="1" ht="15.75" customHeight="1" x14ac:dyDescent="0.35"/>
    <row r="698" customFormat="1" ht="15.75" customHeight="1" x14ac:dyDescent="0.35"/>
    <row r="699" customFormat="1" ht="15.75" customHeight="1" x14ac:dyDescent="0.35"/>
    <row r="700" customFormat="1" ht="15.75" customHeight="1" x14ac:dyDescent="0.35"/>
    <row r="701" customFormat="1" ht="15.75" customHeight="1" x14ac:dyDescent="0.35"/>
    <row r="702" customFormat="1" ht="15.75" customHeight="1" x14ac:dyDescent="0.35"/>
    <row r="703" customFormat="1" ht="15.75" customHeight="1" x14ac:dyDescent="0.35"/>
    <row r="704" customFormat="1" ht="15.75" customHeight="1" x14ac:dyDescent="0.35"/>
    <row r="705" customFormat="1" ht="15.75" customHeight="1" x14ac:dyDescent="0.35"/>
    <row r="706" customFormat="1" ht="15.75" customHeight="1" x14ac:dyDescent="0.35"/>
    <row r="707" customFormat="1" ht="15.75" customHeight="1" x14ac:dyDescent="0.35"/>
    <row r="708" customFormat="1" ht="15.75" customHeight="1" x14ac:dyDescent="0.35"/>
    <row r="709" customFormat="1" ht="15.75" customHeight="1" x14ac:dyDescent="0.35"/>
    <row r="710" customFormat="1" ht="15.75" customHeight="1" x14ac:dyDescent="0.35"/>
    <row r="711" customFormat="1" ht="15.75" customHeight="1" x14ac:dyDescent="0.35"/>
    <row r="712" customFormat="1" ht="15.75" customHeight="1" x14ac:dyDescent="0.35"/>
    <row r="713" customFormat="1" ht="15.75" customHeight="1" x14ac:dyDescent="0.35"/>
    <row r="714" customFormat="1" ht="15.75" customHeight="1" x14ac:dyDescent="0.35"/>
    <row r="715" customFormat="1" ht="15.75" customHeight="1" x14ac:dyDescent="0.35"/>
    <row r="716" customFormat="1" ht="15.75" customHeight="1" x14ac:dyDescent="0.35"/>
    <row r="717" customFormat="1" ht="15.75" customHeight="1" x14ac:dyDescent="0.35"/>
    <row r="718" customFormat="1" ht="15.75" customHeight="1" x14ac:dyDescent="0.35"/>
    <row r="719" customFormat="1" ht="15.75" customHeight="1" x14ac:dyDescent="0.35"/>
    <row r="720" customFormat="1" ht="15.75" customHeight="1" x14ac:dyDescent="0.35"/>
    <row r="721" customFormat="1" ht="15.75" customHeight="1" x14ac:dyDescent="0.35"/>
    <row r="722" customFormat="1" ht="15.75" customHeight="1" x14ac:dyDescent="0.35"/>
    <row r="723" customFormat="1" ht="15.75" customHeight="1" x14ac:dyDescent="0.35"/>
    <row r="724" customFormat="1" ht="15.75" customHeight="1" x14ac:dyDescent="0.35"/>
    <row r="725" customFormat="1" ht="15.75" customHeight="1" x14ac:dyDescent="0.35"/>
    <row r="726" customFormat="1" ht="15.75" customHeight="1" x14ac:dyDescent="0.35"/>
    <row r="727" customFormat="1" ht="15.75" customHeight="1" x14ac:dyDescent="0.35"/>
    <row r="728" customFormat="1" ht="15.75" customHeight="1" x14ac:dyDescent="0.35"/>
    <row r="729" customFormat="1" ht="15.75" customHeight="1" x14ac:dyDescent="0.35"/>
    <row r="730" customFormat="1" ht="15.75" customHeight="1" x14ac:dyDescent="0.35"/>
    <row r="731" customFormat="1" ht="15.75" customHeight="1" x14ac:dyDescent="0.35"/>
    <row r="732" customFormat="1" ht="15.75" customHeight="1" x14ac:dyDescent="0.35"/>
    <row r="733" customFormat="1" ht="15.75" customHeight="1" x14ac:dyDescent="0.35"/>
    <row r="734" customFormat="1" ht="15.75" customHeight="1" x14ac:dyDescent="0.35"/>
    <row r="735" customFormat="1" ht="15.75" customHeight="1" x14ac:dyDescent="0.35"/>
    <row r="736" customFormat="1" ht="15.75" customHeight="1" x14ac:dyDescent="0.35"/>
    <row r="737" customFormat="1" ht="15.75" customHeight="1" x14ac:dyDescent="0.35"/>
    <row r="738" customFormat="1" ht="15.75" customHeight="1" x14ac:dyDescent="0.35"/>
    <row r="739" customFormat="1" ht="15.75" customHeight="1" x14ac:dyDescent="0.35"/>
    <row r="740" customFormat="1" ht="15.75" customHeight="1" x14ac:dyDescent="0.35"/>
    <row r="741" customFormat="1" ht="15.75" customHeight="1" x14ac:dyDescent="0.35"/>
    <row r="742" customFormat="1" ht="15.75" customHeight="1" x14ac:dyDescent="0.35"/>
    <row r="743" customFormat="1" ht="15.75" customHeight="1" x14ac:dyDescent="0.35"/>
    <row r="744" customFormat="1" ht="15.75" customHeight="1" x14ac:dyDescent="0.35"/>
    <row r="745" customFormat="1" ht="15.75" customHeight="1" x14ac:dyDescent="0.35"/>
    <row r="746" customFormat="1" ht="15.75" customHeight="1" x14ac:dyDescent="0.35"/>
    <row r="747" customFormat="1" ht="15.75" customHeight="1" x14ac:dyDescent="0.35"/>
    <row r="748" customFormat="1" ht="15.75" customHeight="1" x14ac:dyDescent="0.35"/>
    <row r="749" customFormat="1" ht="15.75" customHeight="1" x14ac:dyDescent="0.35"/>
    <row r="750" customFormat="1" ht="15.75" customHeight="1" x14ac:dyDescent="0.35"/>
    <row r="751" customFormat="1" ht="15.75" customHeight="1" x14ac:dyDescent="0.35"/>
    <row r="752" customFormat="1" ht="15.75" customHeight="1" x14ac:dyDescent="0.35"/>
    <row r="753" customFormat="1" ht="15.75" customHeight="1" x14ac:dyDescent="0.35"/>
    <row r="754" customFormat="1" ht="15.75" customHeight="1" x14ac:dyDescent="0.35"/>
    <row r="755" customFormat="1" ht="15.75" customHeight="1" x14ac:dyDescent="0.35"/>
    <row r="756" customFormat="1" ht="15.75" customHeight="1" x14ac:dyDescent="0.35"/>
    <row r="757" customFormat="1" ht="15.75" customHeight="1" x14ac:dyDescent="0.35"/>
    <row r="758" customFormat="1" ht="15.75" customHeight="1" x14ac:dyDescent="0.35"/>
    <row r="759" customFormat="1" ht="15.75" customHeight="1" x14ac:dyDescent="0.35"/>
    <row r="760" customFormat="1" ht="15.75" customHeight="1" x14ac:dyDescent="0.35"/>
    <row r="761" customFormat="1" ht="15.75" customHeight="1" x14ac:dyDescent="0.35"/>
    <row r="762" customFormat="1" ht="15.75" customHeight="1" x14ac:dyDescent="0.35"/>
    <row r="763" customFormat="1" ht="15.75" customHeight="1" x14ac:dyDescent="0.35"/>
    <row r="764" customFormat="1" ht="15.75" customHeight="1" x14ac:dyDescent="0.35"/>
    <row r="765" customFormat="1" ht="15.75" customHeight="1" x14ac:dyDescent="0.35"/>
    <row r="766" customFormat="1" ht="15.75" customHeight="1" x14ac:dyDescent="0.35"/>
    <row r="767" customFormat="1" ht="15.75" customHeight="1" x14ac:dyDescent="0.35"/>
    <row r="768" customFormat="1" ht="15.75" customHeight="1" x14ac:dyDescent="0.35"/>
    <row r="769" customFormat="1" ht="15.75" customHeight="1" x14ac:dyDescent="0.35"/>
    <row r="770" customFormat="1" ht="15.75" customHeight="1" x14ac:dyDescent="0.35"/>
    <row r="771" customFormat="1" ht="15.75" customHeight="1" x14ac:dyDescent="0.35"/>
    <row r="772" customFormat="1" ht="15.75" customHeight="1" x14ac:dyDescent="0.35"/>
    <row r="773" customFormat="1" ht="15.75" customHeight="1" x14ac:dyDescent="0.35"/>
    <row r="774" customFormat="1" ht="15.75" customHeight="1" x14ac:dyDescent="0.35"/>
    <row r="775" customFormat="1" ht="15.75" customHeight="1" x14ac:dyDescent="0.35"/>
    <row r="776" customFormat="1" ht="15.75" customHeight="1" x14ac:dyDescent="0.35"/>
    <row r="777" customFormat="1" ht="15.75" customHeight="1" x14ac:dyDescent="0.35"/>
    <row r="778" customFormat="1" ht="15.75" customHeight="1" x14ac:dyDescent="0.35"/>
    <row r="779" customFormat="1" ht="15.75" customHeight="1" x14ac:dyDescent="0.35"/>
    <row r="780" customFormat="1" ht="15.75" customHeight="1" x14ac:dyDescent="0.35"/>
    <row r="781" customFormat="1" ht="15.75" customHeight="1" x14ac:dyDescent="0.35"/>
    <row r="782" customFormat="1" ht="15.75" customHeight="1" x14ac:dyDescent="0.35"/>
    <row r="783" customFormat="1" ht="15.75" customHeight="1" x14ac:dyDescent="0.35"/>
    <row r="784" customFormat="1" ht="15.75" customHeight="1" x14ac:dyDescent="0.35"/>
    <row r="785" customFormat="1" ht="15.75" customHeight="1" x14ac:dyDescent="0.35"/>
    <row r="786" customFormat="1" ht="15.75" customHeight="1" x14ac:dyDescent="0.35"/>
    <row r="787" customFormat="1" ht="15.75" customHeight="1" x14ac:dyDescent="0.35"/>
    <row r="788" customFormat="1" ht="15.75" customHeight="1" x14ac:dyDescent="0.35"/>
    <row r="789" customFormat="1" ht="15.75" customHeight="1" x14ac:dyDescent="0.35"/>
    <row r="790" customFormat="1" ht="15.75" customHeight="1" x14ac:dyDescent="0.35"/>
    <row r="791" customFormat="1" ht="15.75" customHeight="1" x14ac:dyDescent="0.35"/>
    <row r="792" customFormat="1" ht="15.75" customHeight="1" x14ac:dyDescent="0.35"/>
    <row r="793" customFormat="1" ht="15.75" customHeight="1" x14ac:dyDescent="0.35"/>
    <row r="794" customFormat="1" ht="15.75" customHeight="1" x14ac:dyDescent="0.35"/>
    <row r="795" customFormat="1" ht="15.75" customHeight="1" x14ac:dyDescent="0.35"/>
    <row r="796" customFormat="1" ht="15.75" customHeight="1" x14ac:dyDescent="0.35"/>
    <row r="797" customFormat="1" ht="15.75" customHeight="1" x14ac:dyDescent="0.35"/>
    <row r="798" customFormat="1" ht="15.75" customHeight="1" x14ac:dyDescent="0.35"/>
    <row r="799" customFormat="1" ht="15.75" customHeight="1" x14ac:dyDescent="0.35"/>
    <row r="800" customFormat="1" ht="15.75" customHeight="1" x14ac:dyDescent="0.35"/>
    <row r="801" customFormat="1" ht="15.75" customHeight="1" x14ac:dyDescent="0.35"/>
    <row r="802" customFormat="1" ht="15.75" customHeight="1" x14ac:dyDescent="0.35"/>
    <row r="803" customFormat="1" ht="15.75" customHeight="1" x14ac:dyDescent="0.35"/>
    <row r="804" customFormat="1" ht="15.75" customHeight="1" x14ac:dyDescent="0.35"/>
    <row r="805" customFormat="1" ht="15.75" customHeight="1" x14ac:dyDescent="0.35"/>
    <row r="806" customFormat="1" ht="15.75" customHeight="1" x14ac:dyDescent="0.35"/>
    <row r="807" customFormat="1" ht="15.75" customHeight="1" x14ac:dyDescent="0.35"/>
    <row r="808" customFormat="1" ht="15.75" customHeight="1" x14ac:dyDescent="0.35"/>
    <row r="809" customFormat="1" ht="15.75" customHeight="1" x14ac:dyDescent="0.35"/>
    <row r="810" customFormat="1" ht="15.75" customHeight="1" x14ac:dyDescent="0.35"/>
    <row r="811" customFormat="1" ht="15.75" customHeight="1" x14ac:dyDescent="0.35"/>
    <row r="812" customFormat="1" ht="15.75" customHeight="1" x14ac:dyDescent="0.35"/>
    <row r="813" customFormat="1" ht="15.75" customHeight="1" x14ac:dyDescent="0.35"/>
    <row r="814" customFormat="1" ht="15.75" customHeight="1" x14ac:dyDescent="0.35"/>
    <row r="815" customFormat="1" ht="15.75" customHeight="1" x14ac:dyDescent="0.35"/>
    <row r="816" customFormat="1" ht="15.75" customHeight="1" x14ac:dyDescent="0.35"/>
    <row r="817" customFormat="1" ht="15.75" customHeight="1" x14ac:dyDescent="0.35"/>
    <row r="818" customFormat="1" ht="15.75" customHeight="1" x14ac:dyDescent="0.35"/>
    <row r="819" customFormat="1" ht="15.75" customHeight="1" x14ac:dyDescent="0.35"/>
    <row r="820" customFormat="1" ht="15.75" customHeight="1" x14ac:dyDescent="0.35"/>
    <row r="821" customFormat="1" ht="15.75" customHeight="1" x14ac:dyDescent="0.35"/>
    <row r="822" customFormat="1" ht="15.75" customHeight="1" x14ac:dyDescent="0.35"/>
    <row r="823" customFormat="1" ht="15.75" customHeight="1" x14ac:dyDescent="0.35"/>
    <row r="824" customFormat="1" ht="15.75" customHeight="1" x14ac:dyDescent="0.35"/>
    <row r="825" customFormat="1" ht="15.75" customHeight="1" x14ac:dyDescent="0.35"/>
    <row r="826" customFormat="1" ht="15.75" customHeight="1" x14ac:dyDescent="0.35"/>
    <row r="827" customFormat="1" ht="15.75" customHeight="1" x14ac:dyDescent="0.35"/>
    <row r="828" customFormat="1" ht="15.75" customHeight="1" x14ac:dyDescent="0.35"/>
    <row r="829" customFormat="1" ht="15.75" customHeight="1" x14ac:dyDescent="0.35"/>
    <row r="830" customFormat="1" ht="15.75" customHeight="1" x14ac:dyDescent="0.35"/>
    <row r="831" customFormat="1" ht="15.75" customHeight="1" x14ac:dyDescent="0.35"/>
    <row r="832" customFormat="1" ht="15.75" customHeight="1" x14ac:dyDescent="0.35"/>
    <row r="833" customFormat="1" ht="15.75" customHeight="1" x14ac:dyDescent="0.35"/>
    <row r="834" customFormat="1" ht="15.75" customHeight="1" x14ac:dyDescent="0.35"/>
    <row r="835" customFormat="1" ht="15.75" customHeight="1" x14ac:dyDescent="0.35"/>
    <row r="836" customFormat="1" ht="15.75" customHeight="1" x14ac:dyDescent="0.35"/>
    <row r="837" customFormat="1" ht="15.75" customHeight="1" x14ac:dyDescent="0.35"/>
    <row r="838" customFormat="1" ht="15.75" customHeight="1" x14ac:dyDescent="0.35"/>
    <row r="839" customFormat="1" ht="15.75" customHeight="1" x14ac:dyDescent="0.35"/>
    <row r="840" customFormat="1" ht="15.75" customHeight="1" x14ac:dyDescent="0.35"/>
    <row r="841" customFormat="1" ht="15.75" customHeight="1" x14ac:dyDescent="0.35"/>
    <row r="842" customFormat="1" ht="15.75" customHeight="1" x14ac:dyDescent="0.35"/>
    <row r="843" customFormat="1" ht="15.75" customHeight="1" x14ac:dyDescent="0.35"/>
    <row r="844" customFormat="1" ht="15.75" customHeight="1" x14ac:dyDescent="0.35"/>
    <row r="845" customFormat="1" ht="15.75" customHeight="1" x14ac:dyDescent="0.35"/>
    <row r="846" customFormat="1" ht="15.75" customHeight="1" x14ac:dyDescent="0.35"/>
    <row r="847" customFormat="1" ht="15.75" customHeight="1" x14ac:dyDescent="0.35"/>
    <row r="848" customFormat="1" ht="15.75" customHeight="1" x14ac:dyDescent="0.35"/>
    <row r="849" customFormat="1" ht="15.75" customHeight="1" x14ac:dyDescent="0.35"/>
    <row r="850" customFormat="1" ht="15.75" customHeight="1" x14ac:dyDescent="0.35"/>
    <row r="851" customFormat="1" ht="15.75" customHeight="1" x14ac:dyDescent="0.35"/>
    <row r="852" customFormat="1" ht="15.75" customHeight="1" x14ac:dyDescent="0.35"/>
    <row r="853" customFormat="1" ht="15.75" customHeight="1" x14ac:dyDescent="0.35"/>
    <row r="854" customFormat="1" ht="15.75" customHeight="1" x14ac:dyDescent="0.35"/>
    <row r="855" customFormat="1" ht="15.75" customHeight="1" x14ac:dyDescent="0.35"/>
    <row r="856" customFormat="1" ht="15.75" customHeight="1" x14ac:dyDescent="0.35"/>
    <row r="857" customFormat="1" ht="15.75" customHeight="1" x14ac:dyDescent="0.35"/>
    <row r="858" customFormat="1" ht="15.75" customHeight="1" x14ac:dyDescent="0.35"/>
    <row r="859" customFormat="1" ht="15.75" customHeight="1" x14ac:dyDescent="0.35"/>
    <row r="860" customFormat="1" ht="15.75" customHeight="1" x14ac:dyDescent="0.35"/>
    <row r="861" customFormat="1" ht="15.75" customHeight="1" x14ac:dyDescent="0.35"/>
    <row r="862" customFormat="1" ht="15.75" customHeight="1" x14ac:dyDescent="0.35"/>
    <row r="863" customFormat="1" ht="15.75" customHeight="1" x14ac:dyDescent="0.35"/>
    <row r="864" customFormat="1" ht="15.75" customHeight="1" x14ac:dyDescent="0.35"/>
    <row r="865" customFormat="1" ht="15.75" customHeight="1" x14ac:dyDescent="0.35"/>
    <row r="866" customFormat="1" ht="15.75" customHeight="1" x14ac:dyDescent="0.35"/>
    <row r="867" customFormat="1" ht="15.75" customHeight="1" x14ac:dyDescent="0.35"/>
    <row r="868" customFormat="1" ht="15.75" customHeight="1" x14ac:dyDescent="0.35"/>
    <row r="869" customFormat="1" ht="15.75" customHeight="1" x14ac:dyDescent="0.35"/>
    <row r="870" customFormat="1" ht="15.75" customHeight="1" x14ac:dyDescent="0.35"/>
    <row r="871" customFormat="1" ht="15.75" customHeight="1" x14ac:dyDescent="0.35"/>
    <row r="872" customFormat="1" ht="15.75" customHeight="1" x14ac:dyDescent="0.35"/>
    <row r="873" customFormat="1" ht="15.75" customHeight="1" x14ac:dyDescent="0.35"/>
    <row r="874" customFormat="1" ht="15.75" customHeight="1" x14ac:dyDescent="0.35"/>
    <row r="875" customFormat="1" ht="15.75" customHeight="1" x14ac:dyDescent="0.35"/>
    <row r="876" customFormat="1" ht="15.75" customHeight="1" x14ac:dyDescent="0.35"/>
    <row r="877" customFormat="1" ht="15.75" customHeight="1" x14ac:dyDescent="0.35"/>
    <row r="878" customFormat="1" ht="15.75" customHeight="1" x14ac:dyDescent="0.35"/>
    <row r="879" customFormat="1" ht="15.75" customHeight="1" x14ac:dyDescent="0.35"/>
    <row r="880" customFormat="1" ht="15.75" customHeight="1" x14ac:dyDescent="0.35"/>
    <row r="881" customFormat="1" ht="15.75" customHeight="1" x14ac:dyDescent="0.35"/>
    <row r="882" customFormat="1" ht="15.75" customHeight="1" x14ac:dyDescent="0.35"/>
    <row r="883" customFormat="1" ht="15.75" customHeight="1" x14ac:dyDescent="0.35"/>
    <row r="884" customFormat="1" ht="15.75" customHeight="1" x14ac:dyDescent="0.35"/>
    <row r="885" customFormat="1" ht="15.75" customHeight="1" x14ac:dyDescent="0.35"/>
    <row r="886" customFormat="1" ht="15.75" customHeight="1" x14ac:dyDescent="0.35"/>
    <row r="887" customFormat="1" ht="15.75" customHeight="1" x14ac:dyDescent="0.35"/>
    <row r="888" customFormat="1" ht="15.75" customHeight="1" x14ac:dyDescent="0.35"/>
    <row r="889" customFormat="1" ht="15.75" customHeight="1" x14ac:dyDescent="0.35"/>
    <row r="890" customFormat="1" ht="15.75" customHeight="1" x14ac:dyDescent="0.35"/>
    <row r="891" customFormat="1" ht="15.75" customHeight="1" x14ac:dyDescent="0.35"/>
    <row r="892" customFormat="1" ht="15.75" customHeight="1" x14ac:dyDescent="0.35"/>
    <row r="893" customFormat="1" ht="15.75" customHeight="1" x14ac:dyDescent="0.35"/>
    <row r="894" customFormat="1" ht="15.75" customHeight="1" x14ac:dyDescent="0.35"/>
    <row r="895" customFormat="1" ht="15.75" customHeight="1" x14ac:dyDescent="0.35"/>
    <row r="896" customFormat="1" ht="15.75" customHeight="1" x14ac:dyDescent="0.35"/>
    <row r="897" customFormat="1" ht="15.75" customHeight="1" x14ac:dyDescent="0.35"/>
    <row r="898" customFormat="1" ht="15.75" customHeight="1" x14ac:dyDescent="0.35"/>
    <row r="899" customFormat="1" ht="15.75" customHeight="1" x14ac:dyDescent="0.35"/>
    <row r="900" customFormat="1" ht="15.75" customHeight="1" x14ac:dyDescent="0.35"/>
    <row r="901" customFormat="1" ht="15.75" customHeight="1" x14ac:dyDescent="0.35"/>
    <row r="902" customFormat="1" ht="15.75" customHeight="1" x14ac:dyDescent="0.35"/>
    <row r="903" customFormat="1" ht="15.75" customHeight="1" x14ac:dyDescent="0.35"/>
    <row r="904" customFormat="1" ht="15.75" customHeight="1" x14ac:dyDescent="0.35"/>
    <row r="905" customFormat="1" ht="15.75" customHeight="1" x14ac:dyDescent="0.35"/>
    <row r="906" customFormat="1" ht="15.75" customHeight="1" x14ac:dyDescent="0.35"/>
    <row r="907" customFormat="1" ht="15.75" customHeight="1" x14ac:dyDescent="0.35"/>
    <row r="908" customFormat="1" ht="15.75" customHeight="1" x14ac:dyDescent="0.35"/>
    <row r="909" customFormat="1" ht="15.75" customHeight="1" x14ac:dyDescent="0.35"/>
    <row r="910" customFormat="1" ht="15.75" customHeight="1" x14ac:dyDescent="0.35"/>
    <row r="911" customFormat="1" ht="15.75" customHeight="1" x14ac:dyDescent="0.35"/>
    <row r="912" customFormat="1" ht="15.75" customHeight="1" x14ac:dyDescent="0.35"/>
    <row r="913" customFormat="1" ht="15.75" customHeight="1" x14ac:dyDescent="0.35"/>
    <row r="914" customFormat="1" ht="15.75" customHeight="1" x14ac:dyDescent="0.35"/>
    <row r="915" customFormat="1" ht="15.75" customHeight="1" x14ac:dyDescent="0.35"/>
    <row r="916" customFormat="1" ht="15.75" customHeight="1" x14ac:dyDescent="0.35"/>
    <row r="917" customFormat="1" ht="15.75" customHeight="1" x14ac:dyDescent="0.35"/>
    <row r="918" customFormat="1" ht="15.75" customHeight="1" x14ac:dyDescent="0.35"/>
    <row r="919" customFormat="1" ht="15.75" customHeight="1" x14ac:dyDescent="0.35"/>
    <row r="920" customFormat="1" ht="15.75" customHeight="1" x14ac:dyDescent="0.35"/>
    <row r="921" customFormat="1" ht="15.75" customHeight="1" x14ac:dyDescent="0.35"/>
    <row r="922" customFormat="1" ht="15.75" customHeight="1" x14ac:dyDescent="0.35"/>
    <row r="923" customFormat="1" ht="15.75" customHeight="1" x14ac:dyDescent="0.35"/>
    <row r="924" customFormat="1" ht="15.75" customHeight="1" x14ac:dyDescent="0.35"/>
    <row r="925" customFormat="1" ht="15.75" customHeight="1" x14ac:dyDescent="0.35"/>
    <row r="926" customFormat="1" ht="15.75" customHeight="1" x14ac:dyDescent="0.35"/>
    <row r="927" customFormat="1" ht="15.75" customHeight="1" x14ac:dyDescent="0.35"/>
    <row r="928" customFormat="1" ht="15.75" customHeight="1" x14ac:dyDescent="0.35"/>
    <row r="929" customFormat="1" ht="15.75" customHeight="1" x14ac:dyDescent="0.35"/>
    <row r="930" customFormat="1" ht="15.75" customHeight="1" x14ac:dyDescent="0.35"/>
    <row r="931" customFormat="1" ht="15.75" customHeight="1" x14ac:dyDescent="0.35"/>
    <row r="932" customFormat="1" ht="15.75" customHeight="1" x14ac:dyDescent="0.35"/>
    <row r="933" customFormat="1" ht="15.75" customHeight="1" x14ac:dyDescent="0.35"/>
    <row r="934" customFormat="1" ht="15.75" customHeight="1" x14ac:dyDescent="0.35"/>
    <row r="935" customFormat="1" ht="15.75" customHeight="1" x14ac:dyDescent="0.35"/>
    <row r="936" customFormat="1" ht="15.75" customHeight="1" x14ac:dyDescent="0.35"/>
    <row r="937" customFormat="1" ht="15.75" customHeight="1" x14ac:dyDescent="0.35"/>
    <row r="938" customFormat="1" ht="15.75" customHeight="1" x14ac:dyDescent="0.35"/>
    <row r="939" customFormat="1" ht="15.75" customHeight="1" x14ac:dyDescent="0.35"/>
    <row r="940" customFormat="1" ht="15.75" customHeight="1" x14ac:dyDescent="0.35"/>
    <row r="941" customFormat="1" ht="15.75" customHeight="1" x14ac:dyDescent="0.35"/>
    <row r="942" customFormat="1" ht="15.75" customHeight="1" x14ac:dyDescent="0.35"/>
    <row r="943" customFormat="1" ht="15.75" customHeight="1" x14ac:dyDescent="0.35"/>
    <row r="944" customFormat="1" ht="15.75" customHeight="1" x14ac:dyDescent="0.35"/>
    <row r="945" customFormat="1" ht="15.75" customHeight="1" x14ac:dyDescent="0.35"/>
    <row r="946" customFormat="1" ht="15.75" customHeight="1" x14ac:dyDescent="0.35"/>
    <row r="947" customFormat="1" ht="15.75" customHeight="1" x14ac:dyDescent="0.35"/>
    <row r="948" customFormat="1" ht="15.75" customHeight="1" x14ac:dyDescent="0.35"/>
    <row r="949" customFormat="1" ht="15.75" customHeight="1" x14ac:dyDescent="0.35"/>
    <row r="950" customFormat="1" ht="15.75" customHeight="1" x14ac:dyDescent="0.35"/>
    <row r="951" customFormat="1" ht="15.75" customHeight="1" x14ac:dyDescent="0.35"/>
    <row r="952" customFormat="1" ht="15.75" customHeight="1" x14ac:dyDescent="0.35"/>
    <row r="953" customFormat="1" ht="15.75" customHeight="1" x14ac:dyDescent="0.35"/>
    <row r="954" customFormat="1" ht="15.75" customHeight="1" x14ac:dyDescent="0.35"/>
    <row r="955" customFormat="1" ht="15.75" customHeight="1" x14ac:dyDescent="0.35"/>
    <row r="956" customFormat="1" ht="15.75" customHeight="1" x14ac:dyDescent="0.35"/>
    <row r="957" customFormat="1" ht="15.75" customHeight="1" x14ac:dyDescent="0.35"/>
    <row r="958" customFormat="1" ht="15.75" customHeight="1" x14ac:dyDescent="0.35"/>
    <row r="959" customFormat="1" ht="15.75" customHeight="1" x14ac:dyDescent="0.35"/>
    <row r="960" customFormat="1" ht="15.75" customHeight="1" x14ac:dyDescent="0.35"/>
    <row r="961" customFormat="1" ht="15.75" customHeight="1" x14ac:dyDescent="0.35"/>
    <row r="962" customFormat="1" ht="15.75" customHeight="1" x14ac:dyDescent="0.35"/>
    <row r="963" customFormat="1" ht="15.75" customHeight="1" x14ac:dyDescent="0.35"/>
    <row r="964" customFormat="1" ht="15.75" customHeight="1" x14ac:dyDescent="0.35"/>
    <row r="965" customFormat="1" ht="15.75" customHeight="1" x14ac:dyDescent="0.35"/>
    <row r="966" customFormat="1" ht="15.75" customHeight="1" x14ac:dyDescent="0.35"/>
    <row r="967" customFormat="1" ht="15.75" customHeight="1" x14ac:dyDescent="0.35"/>
    <row r="968" customFormat="1" ht="15.75" customHeight="1" x14ac:dyDescent="0.35"/>
    <row r="969" customFormat="1" ht="15.75" customHeight="1" x14ac:dyDescent="0.35"/>
    <row r="970" customFormat="1" ht="15.75" customHeight="1" x14ac:dyDescent="0.35"/>
    <row r="971" customFormat="1" ht="15.75" customHeight="1" x14ac:dyDescent="0.35"/>
    <row r="972" customFormat="1" ht="15.75" customHeight="1" x14ac:dyDescent="0.35"/>
    <row r="973" customFormat="1" ht="15.75" customHeight="1" x14ac:dyDescent="0.35"/>
    <row r="974" customFormat="1" ht="15.75" customHeight="1" x14ac:dyDescent="0.35"/>
    <row r="975" customFormat="1" ht="15.75" customHeight="1" x14ac:dyDescent="0.35"/>
    <row r="976" customFormat="1" ht="15.75" customHeight="1" x14ac:dyDescent="0.35"/>
    <row r="977" customFormat="1" ht="15.75" customHeight="1" x14ac:dyDescent="0.35"/>
    <row r="978" customFormat="1" ht="15.75" customHeight="1" x14ac:dyDescent="0.35"/>
    <row r="979" customFormat="1" ht="15.75" customHeight="1" x14ac:dyDescent="0.35"/>
    <row r="980" customFormat="1" ht="15.75" customHeight="1" x14ac:dyDescent="0.35"/>
    <row r="981" customFormat="1" ht="15.75" customHeight="1" x14ac:dyDescent="0.35"/>
    <row r="982" customFormat="1" ht="15.75" customHeight="1" x14ac:dyDescent="0.35"/>
    <row r="983" customFormat="1" ht="15.75" customHeight="1" x14ac:dyDescent="0.35"/>
    <row r="984" customFormat="1" ht="15.75" customHeight="1" x14ac:dyDescent="0.35"/>
    <row r="985" customFormat="1" ht="15.75" customHeight="1" x14ac:dyDescent="0.35"/>
    <row r="986" customFormat="1" ht="15.75" customHeight="1" x14ac:dyDescent="0.35"/>
    <row r="987" customFormat="1" ht="15.75" customHeight="1" x14ac:dyDescent="0.35"/>
    <row r="988" customFormat="1" ht="15.75" customHeight="1" x14ac:dyDescent="0.35"/>
    <row r="989" customFormat="1" ht="15.75" customHeight="1" x14ac:dyDescent="0.35"/>
    <row r="990" customFormat="1" ht="15.75" customHeight="1" x14ac:dyDescent="0.35"/>
    <row r="991" customFormat="1" ht="15.75" customHeight="1" x14ac:dyDescent="0.35"/>
    <row r="992" customFormat="1" ht="15.75" customHeight="1" x14ac:dyDescent="0.35"/>
    <row r="993" customFormat="1" ht="15.75" customHeight="1" x14ac:dyDescent="0.35"/>
    <row r="994" customFormat="1" ht="15.75" customHeight="1" x14ac:dyDescent="0.35"/>
    <row r="995" customFormat="1" ht="15.75" customHeight="1" x14ac:dyDescent="0.35"/>
    <row r="996" customFormat="1" ht="15.75" customHeight="1" x14ac:dyDescent="0.35"/>
    <row r="997" customFormat="1" ht="15.75" customHeight="1" x14ac:dyDescent="0.35"/>
    <row r="998" customFormat="1" ht="15.75" customHeight="1" x14ac:dyDescent="0.35"/>
    <row r="999" customFormat="1" ht="15.75" customHeight="1" x14ac:dyDescent="0.35"/>
    <row r="1000" customFormat="1" ht="15.75" customHeight="1" x14ac:dyDescent="0.35"/>
    <row r="1001" customFormat="1" ht="15.75" customHeight="1" x14ac:dyDescent="0.35"/>
    <row r="1002" customFormat="1" ht="15.75" customHeight="1" x14ac:dyDescent="0.35"/>
    <row r="1003" customFormat="1" ht="15.75" customHeight="1" x14ac:dyDescent="0.35"/>
    <row r="1004" customFormat="1" ht="15.75" customHeight="1" x14ac:dyDescent="0.35"/>
    <row r="1005" customFormat="1" ht="15.75" customHeight="1" x14ac:dyDescent="0.35"/>
    <row r="1006" customFormat="1" ht="15.75" customHeight="1" x14ac:dyDescent="0.35"/>
    <row r="1007" customFormat="1" ht="15.75" customHeight="1" x14ac:dyDescent="0.35"/>
    <row r="1008" customFormat="1" ht="15.75" customHeight="1" x14ac:dyDescent="0.35"/>
    <row r="1009" customFormat="1" ht="15.75" customHeight="1" x14ac:dyDescent="0.35"/>
    <row r="1010" customFormat="1" ht="15.75" customHeight="1" x14ac:dyDescent="0.35"/>
  </sheetData>
  <mergeCells count="4">
    <mergeCell ref="B4:C4"/>
    <mergeCell ref="B20:C20"/>
    <mergeCell ref="B29:C29"/>
    <mergeCell ref="B38:E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16980-4503-4D41-97F3-D8398F28BB7D}">
  <dimension ref="A1:Z1012"/>
  <sheetViews>
    <sheetView workbookViewId="0">
      <selection activeCell="C9" sqref="C9"/>
    </sheetView>
  </sheetViews>
  <sheetFormatPr defaultColWidth="14.453125" defaultRowHeight="14.5" x14ac:dyDescent="0.35"/>
  <cols>
    <col min="1" max="1" width="24.08984375" customWidth="1"/>
    <col min="2" max="2" width="25.08984375" customWidth="1"/>
    <col min="3" max="7" width="11.08984375" customWidth="1"/>
    <col min="8" max="26" width="9.08984375" customWidth="1"/>
  </cols>
  <sheetData>
    <row r="1" spans="1:26" ht="12" customHeight="1" x14ac:dyDescent="0.35">
      <c r="A1" s="25" t="s">
        <v>65</v>
      </c>
      <c r="B1" s="26"/>
      <c r="C1" s="26"/>
      <c r="D1" s="26"/>
      <c r="E1" s="26"/>
      <c r="F1" s="26"/>
      <c r="G1" s="26"/>
      <c r="H1" s="27"/>
      <c r="I1" s="28"/>
      <c r="J1" s="28"/>
      <c r="K1" s="28"/>
      <c r="L1" s="28"/>
      <c r="M1" s="28"/>
      <c r="N1" s="28"/>
      <c r="O1" s="28"/>
      <c r="P1" s="28"/>
      <c r="Q1" s="28"/>
      <c r="R1" s="28"/>
      <c r="S1" s="28"/>
      <c r="T1" s="28"/>
      <c r="U1" s="28"/>
      <c r="V1" s="28"/>
      <c r="W1" s="28"/>
      <c r="X1" s="28"/>
      <c r="Y1" s="28"/>
      <c r="Z1" s="28"/>
    </row>
    <row r="2" spans="1:26" ht="12" customHeight="1" x14ac:dyDescent="0.35">
      <c r="A2" s="29" t="s">
        <v>66</v>
      </c>
      <c r="B2" s="30" t="s">
        <v>67</v>
      </c>
      <c r="C2" s="28"/>
      <c r="D2" s="28"/>
      <c r="E2" s="28"/>
      <c r="F2" s="28"/>
      <c r="G2" s="28"/>
      <c r="H2" s="27"/>
      <c r="I2" s="28"/>
      <c r="J2" s="28"/>
      <c r="K2" s="28"/>
      <c r="L2" s="28"/>
      <c r="M2" s="28"/>
      <c r="N2" s="28"/>
      <c r="O2" s="28"/>
      <c r="P2" s="28"/>
      <c r="Q2" s="28"/>
      <c r="R2" s="28"/>
      <c r="S2" s="28"/>
      <c r="T2" s="28"/>
      <c r="U2" s="28"/>
      <c r="V2" s="28"/>
      <c r="W2" s="28"/>
      <c r="X2" s="28"/>
      <c r="Y2" s="28"/>
      <c r="Z2" s="28"/>
    </row>
    <row r="3" spans="1:26" ht="12" customHeight="1" x14ac:dyDescent="0.35">
      <c r="A3" s="2" t="s">
        <v>68</v>
      </c>
      <c r="B3" s="31">
        <v>2.6432199999999999</v>
      </c>
      <c r="C3" s="28"/>
      <c r="D3" s="28"/>
      <c r="E3" s="28"/>
      <c r="F3" s="28"/>
      <c r="G3" s="28"/>
      <c r="H3" s="27"/>
      <c r="I3" s="28"/>
      <c r="J3" s="28"/>
      <c r="K3" s="28"/>
      <c r="L3" s="28"/>
      <c r="M3" s="28"/>
      <c r="N3" s="28"/>
      <c r="O3" s="28"/>
      <c r="P3" s="28"/>
      <c r="Q3" s="28"/>
      <c r="R3" s="28"/>
      <c r="S3" s="28"/>
      <c r="T3" s="28"/>
      <c r="U3" s="28"/>
      <c r="V3" s="28"/>
      <c r="W3" s="28"/>
      <c r="X3" s="28"/>
      <c r="Y3" s="28"/>
      <c r="Z3" s="28"/>
    </row>
    <row r="4" spans="1:26" ht="12" customHeight="1" x14ac:dyDescent="0.35">
      <c r="A4" s="2" t="s">
        <v>69</v>
      </c>
      <c r="B4" s="31">
        <v>2.4586600000000001</v>
      </c>
      <c r="C4" s="28"/>
      <c r="D4" s="28"/>
      <c r="E4" s="28"/>
      <c r="F4" s="28"/>
      <c r="G4" s="28"/>
      <c r="H4" s="27"/>
      <c r="I4" s="28"/>
      <c r="J4" s="28"/>
      <c r="K4" s="28"/>
      <c r="L4" s="28"/>
      <c r="M4" s="28"/>
      <c r="N4" s="28"/>
      <c r="O4" s="28"/>
      <c r="P4" s="28"/>
      <c r="Q4" s="28"/>
      <c r="R4" s="28"/>
      <c r="S4" s="28"/>
      <c r="T4" s="28"/>
      <c r="U4" s="28"/>
      <c r="V4" s="28"/>
      <c r="W4" s="28"/>
      <c r="X4" s="28"/>
      <c r="Y4" s="28"/>
      <c r="Z4" s="28"/>
    </row>
    <row r="5" spans="1:26" ht="12" customHeight="1" x14ac:dyDescent="0.35">
      <c r="A5" s="2" t="s">
        <v>70</v>
      </c>
      <c r="B5" s="31">
        <v>2.6856599999999999</v>
      </c>
      <c r="C5" s="28"/>
      <c r="D5" s="28"/>
      <c r="E5" s="28"/>
      <c r="F5" s="28"/>
      <c r="G5" s="28"/>
      <c r="H5" s="27"/>
      <c r="I5" s="28"/>
      <c r="J5" s="28"/>
      <c r="K5" s="28"/>
      <c r="L5" s="28"/>
      <c r="M5" s="28"/>
      <c r="N5" s="28"/>
      <c r="O5" s="28"/>
      <c r="P5" s="28"/>
      <c r="Q5" s="28"/>
      <c r="R5" s="28"/>
      <c r="S5" s="28"/>
      <c r="T5" s="28"/>
      <c r="U5" s="28"/>
      <c r="V5" s="28"/>
      <c r="W5" s="28"/>
      <c r="X5" s="28"/>
      <c r="Y5" s="28"/>
      <c r="Z5" s="28"/>
    </row>
    <row r="6" spans="1:26" ht="12" customHeight="1" x14ac:dyDescent="0.35">
      <c r="A6" s="2" t="s">
        <v>71</v>
      </c>
      <c r="B6" s="31">
        <v>2.9872200000000002</v>
      </c>
      <c r="C6" s="28"/>
      <c r="D6" s="28"/>
      <c r="E6" s="28"/>
      <c r="F6" s="28"/>
      <c r="G6" s="28"/>
      <c r="H6" s="27"/>
      <c r="I6" s="28"/>
      <c r="J6" s="28"/>
      <c r="K6" s="28"/>
      <c r="L6" s="28"/>
      <c r="M6" s="28"/>
      <c r="N6" s="28"/>
      <c r="O6" s="28"/>
      <c r="P6" s="28"/>
      <c r="Q6" s="28"/>
      <c r="R6" s="28"/>
      <c r="S6" s="28"/>
      <c r="T6" s="28"/>
      <c r="U6" s="28"/>
      <c r="V6" s="28"/>
      <c r="W6" s="28"/>
      <c r="X6" s="28"/>
      <c r="Y6" s="28"/>
      <c r="Z6" s="28"/>
    </row>
    <row r="7" spans="1:26" ht="12" customHeight="1" x14ac:dyDescent="0.35">
      <c r="A7" s="2" t="s">
        <v>72</v>
      </c>
      <c r="B7" s="31">
        <v>1.6131</v>
      </c>
      <c r="C7" s="28"/>
      <c r="D7" s="28"/>
      <c r="E7" s="28"/>
      <c r="F7" s="28"/>
      <c r="G7" s="28"/>
      <c r="H7" s="27"/>
      <c r="I7" s="28"/>
      <c r="J7" s="28"/>
      <c r="K7" s="28"/>
      <c r="L7" s="28"/>
      <c r="M7" s="28"/>
      <c r="N7" s="28"/>
      <c r="O7" s="28"/>
      <c r="P7" s="28"/>
      <c r="Q7" s="28"/>
      <c r="R7" s="28"/>
      <c r="S7" s="28"/>
      <c r="T7" s="28"/>
      <c r="U7" s="28"/>
      <c r="V7" s="28"/>
      <c r="W7" s="28"/>
      <c r="X7" s="28"/>
      <c r="Y7" s="28"/>
      <c r="Z7" s="28"/>
    </row>
    <row r="8" spans="1:26" ht="12" customHeight="1" x14ac:dyDescent="0.35">
      <c r="A8" s="2" t="s">
        <v>73</v>
      </c>
      <c r="B8" s="31">
        <v>1.8868</v>
      </c>
      <c r="C8" s="28"/>
      <c r="D8" s="28"/>
      <c r="E8" s="28"/>
      <c r="F8" s="28"/>
      <c r="G8" s="28"/>
      <c r="H8" s="27"/>
      <c r="I8" s="28"/>
      <c r="J8" s="28"/>
      <c r="K8" s="28"/>
      <c r="L8" s="28"/>
      <c r="M8" s="28"/>
      <c r="N8" s="28"/>
      <c r="O8" s="28"/>
      <c r="P8" s="28"/>
      <c r="Q8" s="28"/>
      <c r="R8" s="28"/>
      <c r="S8" s="28"/>
      <c r="T8" s="28"/>
      <c r="U8" s="28"/>
      <c r="V8" s="28"/>
      <c r="W8" s="28"/>
      <c r="X8" s="28"/>
      <c r="Y8" s="28"/>
      <c r="Z8" s="28"/>
    </row>
    <row r="9" spans="1:26" ht="12" customHeight="1" x14ac:dyDescent="0.35">
      <c r="A9" s="2" t="s">
        <v>74</v>
      </c>
      <c r="B9" s="31">
        <v>2.9489800000000002</v>
      </c>
      <c r="C9" s="28"/>
      <c r="D9" s="28"/>
      <c r="E9" s="28"/>
      <c r="F9" s="28"/>
      <c r="G9" s="28"/>
      <c r="H9" s="27"/>
      <c r="I9" s="28"/>
      <c r="J9" s="28"/>
      <c r="K9" s="28"/>
      <c r="L9" s="28"/>
      <c r="M9" s="28"/>
      <c r="N9" s="28"/>
      <c r="O9" s="28"/>
      <c r="P9" s="28"/>
      <c r="Q9" s="28"/>
      <c r="R9" s="28"/>
      <c r="S9" s="28"/>
      <c r="T9" s="28"/>
      <c r="U9" s="28"/>
      <c r="V9" s="28"/>
      <c r="W9" s="28"/>
      <c r="X9" s="28"/>
      <c r="Y9" s="28"/>
      <c r="Z9" s="28"/>
    </row>
    <row r="10" spans="1:26" ht="12" customHeight="1" x14ac:dyDescent="0.35">
      <c r="A10" s="2" t="s">
        <v>75</v>
      </c>
      <c r="B10" s="31">
        <v>189.74</v>
      </c>
      <c r="C10" s="28"/>
      <c r="D10" s="28"/>
      <c r="E10" s="28"/>
      <c r="F10" s="28"/>
      <c r="G10" s="28"/>
      <c r="H10" s="27"/>
      <c r="I10" s="28"/>
      <c r="J10" s="28"/>
      <c r="K10" s="28"/>
      <c r="L10" s="28"/>
      <c r="M10" s="28"/>
      <c r="N10" s="28"/>
      <c r="O10" s="28"/>
      <c r="P10" s="28"/>
      <c r="Q10" s="28"/>
      <c r="R10" s="28"/>
      <c r="S10" s="28"/>
      <c r="T10" s="28"/>
      <c r="U10" s="28"/>
      <c r="V10" s="28"/>
      <c r="W10" s="28"/>
      <c r="X10" s="28"/>
      <c r="Y10" s="28"/>
      <c r="Z10" s="28"/>
    </row>
    <row r="11" spans="1:26" ht="12" customHeight="1" x14ac:dyDescent="0.35">
      <c r="A11" s="32"/>
      <c r="B11" s="28"/>
      <c r="C11" s="28"/>
      <c r="D11" s="28"/>
      <c r="E11" s="28"/>
      <c r="F11" s="28"/>
      <c r="G11" s="28"/>
      <c r="H11" s="27"/>
      <c r="I11" s="28"/>
      <c r="J11" s="28"/>
      <c r="K11" s="28"/>
      <c r="L11" s="28"/>
      <c r="M11" s="28"/>
      <c r="N11" s="28"/>
      <c r="O11" s="28"/>
      <c r="P11" s="28"/>
      <c r="Q11" s="28"/>
      <c r="R11" s="28"/>
      <c r="S11" s="28"/>
      <c r="T11" s="28"/>
      <c r="U11" s="28"/>
      <c r="V11" s="28"/>
      <c r="W11" s="28"/>
      <c r="X11" s="28"/>
      <c r="Y11" s="28"/>
      <c r="Z11" s="28"/>
    </row>
    <row r="12" spans="1:26" ht="12" customHeight="1" x14ac:dyDescent="0.35">
      <c r="A12" s="32"/>
      <c r="B12" s="28"/>
      <c r="C12" s="28"/>
      <c r="D12" s="28"/>
      <c r="E12" s="28"/>
      <c r="F12" s="28"/>
      <c r="G12" s="28"/>
      <c r="H12" s="27"/>
      <c r="I12" s="28"/>
      <c r="J12" s="28"/>
      <c r="K12" s="28"/>
      <c r="L12" s="28"/>
      <c r="M12" s="28"/>
      <c r="N12" s="28"/>
      <c r="O12" s="28"/>
      <c r="P12" s="28"/>
      <c r="Q12" s="28"/>
      <c r="R12" s="28"/>
      <c r="S12" s="28"/>
      <c r="T12" s="28"/>
      <c r="U12" s="28"/>
      <c r="V12" s="28"/>
      <c r="W12" s="28"/>
      <c r="X12" s="28"/>
      <c r="Y12" s="28"/>
      <c r="Z12" s="28"/>
    </row>
    <row r="13" spans="1:26" ht="12" customHeight="1" x14ac:dyDescent="0.35">
      <c r="A13" s="25" t="s">
        <v>76</v>
      </c>
      <c r="B13" s="26"/>
      <c r="C13" s="26"/>
      <c r="D13" s="26"/>
      <c r="E13" s="26"/>
      <c r="F13" s="26"/>
      <c r="G13" s="26"/>
      <c r="H13" s="27"/>
      <c r="I13" s="28"/>
      <c r="J13" s="28"/>
      <c r="K13" s="28"/>
      <c r="L13" s="28"/>
      <c r="M13" s="28"/>
      <c r="N13" s="28"/>
      <c r="O13" s="28"/>
      <c r="P13" s="28"/>
      <c r="Q13" s="28"/>
      <c r="R13" s="28"/>
      <c r="S13" s="28"/>
      <c r="T13" s="28"/>
      <c r="U13" s="28"/>
      <c r="V13" s="28"/>
      <c r="W13" s="28"/>
      <c r="X13" s="28"/>
      <c r="Y13" s="28"/>
      <c r="Z13" s="28"/>
    </row>
    <row r="14" spans="1:26" ht="12" customHeight="1" x14ac:dyDescent="0.35">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ht="12" customHeight="1" x14ac:dyDescent="0.35">
      <c r="A15" s="33" t="s">
        <v>77</v>
      </c>
      <c r="B15" s="34">
        <v>2017</v>
      </c>
      <c r="C15" s="34">
        <v>2018</v>
      </c>
      <c r="D15" s="34">
        <v>2019</v>
      </c>
      <c r="E15" s="34">
        <v>2020</v>
      </c>
      <c r="F15" s="34">
        <v>2021</v>
      </c>
      <c r="G15" s="34">
        <v>2022</v>
      </c>
      <c r="H15" s="28"/>
      <c r="I15" s="28"/>
      <c r="J15" s="28"/>
      <c r="K15" s="28"/>
      <c r="L15" s="28"/>
      <c r="M15" s="28"/>
      <c r="N15" s="28"/>
      <c r="O15" s="28"/>
      <c r="P15" s="28"/>
      <c r="Q15" s="28"/>
      <c r="R15" s="28"/>
      <c r="S15" s="28"/>
      <c r="T15" s="28"/>
      <c r="U15" s="28"/>
      <c r="V15" s="28"/>
      <c r="W15" s="28"/>
      <c r="X15" s="28"/>
      <c r="Y15" s="28"/>
      <c r="Z15" s="28"/>
    </row>
    <row r="16" spans="1:26" ht="12" customHeight="1" x14ac:dyDescent="0.35">
      <c r="A16" s="35" t="s">
        <v>78</v>
      </c>
      <c r="B16" s="36">
        <v>362.69810000000001</v>
      </c>
      <c r="C16" s="36">
        <v>366.96350000000001</v>
      </c>
      <c r="D16" s="36">
        <f t="shared" ref="D16:F31" si="0">C16</f>
        <v>366.96350000000001</v>
      </c>
      <c r="E16" s="36">
        <f t="shared" si="0"/>
        <v>366.96350000000001</v>
      </c>
      <c r="F16" s="36">
        <f t="shared" si="0"/>
        <v>366.96350000000001</v>
      </c>
      <c r="G16" s="37">
        <f t="shared" ref="G16:G63" si="1">F16*0.96</f>
        <v>352.28496000000001</v>
      </c>
      <c r="H16" s="28"/>
      <c r="I16" s="28"/>
      <c r="J16" s="28"/>
      <c r="K16" s="28"/>
      <c r="L16" s="28"/>
      <c r="M16" s="28"/>
      <c r="N16" s="28"/>
      <c r="O16" s="28"/>
      <c r="P16" s="28"/>
      <c r="Q16" s="28"/>
      <c r="R16" s="28"/>
      <c r="S16" s="28"/>
      <c r="T16" s="28"/>
      <c r="U16" s="28"/>
      <c r="V16" s="28"/>
      <c r="W16" s="28"/>
      <c r="X16" s="28"/>
      <c r="Y16" s="28"/>
      <c r="Z16" s="28"/>
    </row>
    <row r="17" spans="1:26" ht="12" customHeight="1" x14ac:dyDescent="0.35">
      <c r="A17" s="35" t="s">
        <v>79</v>
      </c>
      <c r="B17" s="36">
        <v>852.2029</v>
      </c>
      <c r="C17" s="36">
        <v>840.92430000000002</v>
      </c>
      <c r="D17" s="36">
        <f t="shared" si="0"/>
        <v>840.92430000000002</v>
      </c>
      <c r="E17" s="36">
        <f t="shared" si="0"/>
        <v>840.92430000000002</v>
      </c>
      <c r="F17" s="36">
        <f t="shared" si="0"/>
        <v>840.92430000000002</v>
      </c>
      <c r="G17" s="37">
        <f t="shared" si="1"/>
        <v>807.287328</v>
      </c>
      <c r="H17" s="28"/>
      <c r="I17" s="28"/>
      <c r="J17" s="28"/>
      <c r="K17" s="28"/>
      <c r="L17" s="28"/>
      <c r="M17" s="28"/>
      <c r="N17" s="28"/>
      <c r="O17" s="28"/>
      <c r="P17" s="28"/>
      <c r="Q17" s="28"/>
      <c r="R17" s="28"/>
      <c r="S17" s="28"/>
      <c r="T17" s="28"/>
      <c r="U17" s="28"/>
      <c r="V17" s="28"/>
      <c r="W17" s="28"/>
      <c r="X17" s="28"/>
      <c r="Y17" s="28"/>
      <c r="Z17" s="28"/>
    </row>
    <row r="18" spans="1:26" ht="12" customHeight="1" x14ac:dyDescent="0.35">
      <c r="A18" s="35" t="s">
        <v>80</v>
      </c>
      <c r="B18" s="36">
        <v>217.97049999999999</v>
      </c>
      <c r="C18" s="36">
        <v>219.55770000000001</v>
      </c>
      <c r="D18" s="36">
        <f t="shared" si="0"/>
        <v>219.55770000000001</v>
      </c>
      <c r="E18" s="36">
        <f t="shared" si="0"/>
        <v>219.55770000000001</v>
      </c>
      <c r="F18" s="36">
        <f t="shared" si="0"/>
        <v>219.55770000000001</v>
      </c>
      <c r="G18" s="37">
        <f t="shared" si="1"/>
        <v>210.77539200000001</v>
      </c>
      <c r="H18" s="28"/>
      <c r="I18" s="28"/>
      <c r="J18" s="28"/>
      <c r="K18" s="28"/>
      <c r="L18" s="28"/>
      <c r="M18" s="28"/>
      <c r="N18" s="28"/>
      <c r="O18" s="28"/>
      <c r="P18" s="28"/>
      <c r="Q18" s="28"/>
      <c r="R18" s="28"/>
      <c r="S18" s="28"/>
      <c r="T18" s="28"/>
      <c r="U18" s="28"/>
      <c r="V18" s="28"/>
      <c r="W18" s="28"/>
      <c r="X18" s="28"/>
      <c r="Y18" s="28"/>
      <c r="Z18" s="28"/>
    </row>
    <row r="19" spans="1:26" ht="12" customHeight="1" x14ac:dyDescent="0.35">
      <c r="A19" s="35" t="s">
        <v>81</v>
      </c>
      <c r="B19" s="36">
        <v>64.351200000000006</v>
      </c>
      <c r="C19" s="36">
        <v>86.7654</v>
      </c>
      <c r="D19" s="36">
        <f t="shared" si="0"/>
        <v>86.7654</v>
      </c>
      <c r="E19" s="36">
        <f t="shared" si="0"/>
        <v>86.7654</v>
      </c>
      <c r="F19" s="36">
        <f t="shared" si="0"/>
        <v>86.7654</v>
      </c>
      <c r="G19" s="37">
        <f t="shared" si="1"/>
        <v>83.294783999999993</v>
      </c>
      <c r="H19" s="28"/>
      <c r="I19" s="28"/>
      <c r="J19" s="28"/>
      <c r="K19" s="28"/>
      <c r="L19" s="28"/>
      <c r="M19" s="28"/>
      <c r="N19" s="28"/>
      <c r="O19" s="28"/>
      <c r="P19" s="28"/>
      <c r="Q19" s="28"/>
      <c r="R19" s="28"/>
      <c r="S19" s="28"/>
      <c r="T19" s="28"/>
      <c r="U19" s="28"/>
      <c r="V19" s="28"/>
      <c r="W19" s="28"/>
      <c r="X19" s="28"/>
      <c r="Y19" s="28"/>
      <c r="Z19" s="28"/>
    </row>
    <row r="20" spans="1:26" ht="12" customHeight="1" x14ac:dyDescent="0.35">
      <c r="A20" s="35" t="s">
        <v>82</v>
      </c>
      <c r="B20" s="36">
        <v>196.23589999999999</v>
      </c>
      <c r="C20" s="36">
        <v>207.17609999999999</v>
      </c>
      <c r="D20" s="36">
        <f t="shared" si="0"/>
        <v>207.17609999999999</v>
      </c>
      <c r="E20" s="36">
        <f t="shared" si="0"/>
        <v>207.17609999999999</v>
      </c>
      <c r="F20" s="36">
        <f t="shared" si="0"/>
        <v>207.17609999999999</v>
      </c>
      <c r="G20" s="37">
        <f t="shared" si="1"/>
        <v>198.88905599999998</v>
      </c>
      <c r="H20" s="28"/>
      <c r="I20" s="28"/>
      <c r="J20" s="28"/>
      <c r="K20" s="28"/>
      <c r="L20" s="28"/>
      <c r="M20" s="28"/>
      <c r="N20" s="28"/>
      <c r="O20" s="28"/>
      <c r="P20" s="28"/>
      <c r="Q20" s="28"/>
      <c r="R20" s="28"/>
      <c r="S20" s="28"/>
      <c r="T20" s="28"/>
      <c r="U20" s="28"/>
      <c r="V20" s="28"/>
      <c r="W20" s="28"/>
      <c r="X20" s="28"/>
      <c r="Y20" s="28"/>
      <c r="Z20" s="28"/>
    </row>
    <row r="21" spans="1:26" ht="12" customHeight="1" x14ac:dyDescent="0.35">
      <c r="A21" s="35" t="s">
        <v>83</v>
      </c>
      <c r="B21" s="36">
        <v>176.3732</v>
      </c>
      <c r="C21" s="36">
        <v>186.4102</v>
      </c>
      <c r="D21" s="36">
        <f t="shared" si="0"/>
        <v>186.4102</v>
      </c>
      <c r="E21" s="36">
        <f t="shared" si="0"/>
        <v>186.4102</v>
      </c>
      <c r="F21" s="36">
        <f t="shared" si="0"/>
        <v>186.4102</v>
      </c>
      <c r="G21" s="37">
        <f t="shared" si="1"/>
        <v>178.95379199999999</v>
      </c>
      <c r="H21" s="28"/>
      <c r="I21" s="28"/>
      <c r="J21" s="28"/>
      <c r="K21" s="28"/>
      <c r="L21" s="28"/>
      <c r="M21" s="28"/>
      <c r="N21" s="28"/>
      <c r="O21" s="28"/>
      <c r="P21" s="28"/>
      <c r="Q21" s="28"/>
      <c r="R21" s="28"/>
      <c r="S21" s="28"/>
      <c r="T21" s="28"/>
      <c r="U21" s="28"/>
      <c r="V21" s="28"/>
      <c r="W21" s="28"/>
      <c r="X21" s="28"/>
      <c r="Y21" s="28"/>
      <c r="Z21" s="28"/>
    </row>
    <row r="22" spans="1:26" ht="12" customHeight="1" x14ac:dyDescent="0.35">
      <c r="A22" s="35" t="s">
        <v>84</v>
      </c>
      <c r="B22" s="36">
        <v>373.44799999999998</v>
      </c>
      <c r="C22" s="36">
        <v>409.66669999999999</v>
      </c>
      <c r="D22" s="36">
        <f t="shared" si="0"/>
        <v>409.66669999999999</v>
      </c>
      <c r="E22" s="36">
        <f t="shared" si="0"/>
        <v>409.66669999999999</v>
      </c>
      <c r="F22" s="36">
        <f t="shared" si="0"/>
        <v>409.66669999999999</v>
      </c>
      <c r="G22" s="37">
        <f t="shared" si="1"/>
        <v>393.28003200000001</v>
      </c>
      <c r="H22" s="28"/>
      <c r="I22" s="28"/>
      <c r="J22" s="28"/>
      <c r="K22" s="28"/>
      <c r="L22" s="28"/>
      <c r="M22" s="28"/>
      <c r="N22" s="28"/>
      <c r="O22" s="28"/>
      <c r="P22" s="28"/>
      <c r="Q22" s="28"/>
      <c r="R22" s="28"/>
      <c r="S22" s="28"/>
      <c r="T22" s="28"/>
      <c r="U22" s="28"/>
      <c r="V22" s="28"/>
      <c r="W22" s="28"/>
      <c r="X22" s="28"/>
      <c r="Y22" s="28"/>
      <c r="Z22" s="28"/>
    </row>
    <row r="23" spans="1:26" ht="12" customHeight="1" x14ac:dyDescent="0.35">
      <c r="A23" s="35" t="s">
        <v>49</v>
      </c>
      <c r="B23" s="36">
        <v>799.92529999999999</v>
      </c>
      <c r="C23" s="36">
        <v>766.09410000000003</v>
      </c>
      <c r="D23" s="36">
        <f t="shared" si="0"/>
        <v>766.09410000000003</v>
      </c>
      <c r="E23" s="36">
        <f t="shared" si="0"/>
        <v>766.09410000000003</v>
      </c>
      <c r="F23" s="36">
        <f t="shared" si="0"/>
        <v>766.09410000000003</v>
      </c>
      <c r="G23" s="37">
        <f t="shared" si="1"/>
        <v>735.45033599999999</v>
      </c>
      <c r="H23" s="28"/>
      <c r="I23" s="28"/>
      <c r="J23" s="28"/>
      <c r="K23" s="28"/>
      <c r="L23" s="28"/>
      <c r="M23" s="28"/>
      <c r="N23" s="28"/>
      <c r="O23" s="28"/>
      <c r="P23" s="28"/>
      <c r="Q23" s="28"/>
      <c r="R23" s="28"/>
      <c r="S23" s="28"/>
      <c r="T23" s="28"/>
      <c r="U23" s="28"/>
      <c r="V23" s="28"/>
      <c r="W23" s="28"/>
      <c r="X23" s="28"/>
      <c r="Y23" s="28"/>
      <c r="Z23" s="28"/>
    </row>
    <row r="24" spans="1:26" ht="12" customHeight="1" x14ac:dyDescent="0.35">
      <c r="A24" s="35" t="s">
        <v>85</v>
      </c>
      <c r="B24" s="36">
        <v>175.5043</v>
      </c>
      <c r="C24" s="36">
        <v>175.73699999999999</v>
      </c>
      <c r="D24" s="36">
        <f t="shared" si="0"/>
        <v>175.73699999999999</v>
      </c>
      <c r="E24" s="36">
        <f t="shared" si="0"/>
        <v>175.73699999999999</v>
      </c>
      <c r="F24" s="36">
        <f t="shared" si="0"/>
        <v>175.73699999999999</v>
      </c>
      <c r="G24" s="37">
        <f t="shared" si="1"/>
        <v>168.70751999999999</v>
      </c>
      <c r="H24" s="28"/>
      <c r="I24" s="28"/>
      <c r="J24" s="28"/>
      <c r="K24" s="28"/>
      <c r="L24" s="28"/>
      <c r="M24" s="28"/>
      <c r="N24" s="28"/>
      <c r="O24" s="28"/>
      <c r="P24" s="28"/>
      <c r="Q24" s="28"/>
      <c r="R24" s="28"/>
      <c r="S24" s="28"/>
      <c r="T24" s="28"/>
      <c r="U24" s="28"/>
      <c r="V24" s="28"/>
      <c r="W24" s="28"/>
      <c r="X24" s="28"/>
      <c r="Y24" s="28"/>
      <c r="Z24" s="28"/>
    </row>
    <row r="25" spans="1:26" ht="12" customHeight="1" x14ac:dyDescent="0.35">
      <c r="A25" s="35" t="s">
        <v>86</v>
      </c>
      <c r="B25" s="36">
        <v>39.721299999999999</v>
      </c>
      <c r="C25" s="36">
        <v>55.706400000000002</v>
      </c>
      <c r="D25" s="36">
        <f t="shared" si="0"/>
        <v>55.706400000000002</v>
      </c>
      <c r="E25" s="36">
        <f t="shared" si="0"/>
        <v>55.706400000000002</v>
      </c>
      <c r="F25" s="36">
        <f t="shared" si="0"/>
        <v>55.706400000000002</v>
      </c>
      <c r="G25" s="37">
        <f t="shared" si="1"/>
        <v>53.478144</v>
      </c>
      <c r="H25" s="28"/>
      <c r="I25" s="28"/>
      <c r="J25" s="28"/>
      <c r="K25" s="28"/>
      <c r="L25" s="28"/>
      <c r="M25" s="28"/>
      <c r="N25" s="28"/>
      <c r="O25" s="28"/>
      <c r="P25" s="28"/>
      <c r="Q25" s="28"/>
      <c r="R25" s="28"/>
      <c r="S25" s="28"/>
      <c r="T25" s="28"/>
      <c r="U25" s="28"/>
      <c r="V25" s="28"/>
      <c r="W25" s="28"/>
      <c r="X25" s="28"/>
      <c r="Y25" s="28"/>
      <c r="Z25" s="28"/>
    </row>
    <row r="26" spans="1:26" ht="12" customHeight="1" x14ac:dyDescent="0.35">
      <c r="A26" s="35" t="s">
        <v>87</v>
      </c>
      <c r="B26" s="36">
        <v>588.2133</v>
      </c>
      <c r="C26" s="36">
        <v>589.02239999999995</v>
      </c>
      <c r="D26" s="36">
        <f t="shared" si="0"/>
        <v>589.02239999999995</v>
      </c>
      <c r="E26" s="36">
        <f t="shared" si="0"/>
        <v>589.02239999999995</v>
      </c>
      <c r="F26" s="36">
        <f t="shared" si="0"/>
        <v>589.02239999999995</v>
      </c>
      <c r="G26" s="37">
        <f t="shared" si="1"/>
        <v>565.46150399999988</v>
      </c>
      <c r="H26" s="28"/>
      <c r="I26" s="28"/>
      <c r="J26" s="28"/>
      <c r="K26" s="28"/>
      <c r="L26" s="28"/>
      <c r="M26" s="28"/>
      <c r="N26" s="28"/>
      <c r="O26" s="28"/>
      <c r="P26" s="28"/>
      <c r="Q26" s="28"/>
      <c r="R26" s="28"/>
      <c r="S26" s="28"/>
      <c r="T26" s="28"/>
      <c r="U26" s="28"/>
      <c r="V26" s="28"/>
      <c r="W26" s="28"/>
      <c r="X26" s="28"/>
      <c r="Y26" s="28"/>
      <c r="Z26" s="28"/>
    </row>
    <row r="27" spans="1:26" ht="12" customHeight="1" x14ac:dyDescent="0.35">
      <c r="A27" s="35" t="s">
        <v>88</v>
      </c>
      <c r="B27" s="36">
        <v>398.3116</v>
      </c>
      <c r="C27" s="36">
        <v>359.67250000000001</v>
      </c>
      <c r="D27" s="36">
        <f t="shared" si="0"/>
        <v>359.67250000000001</v>
      </c>
      <c r="E27" s="36">
        <f t="shared" si="0"/>
        <v>359.67250000000001</v>
      </c>
      <c r="F27" s="36">
        <f t="shared" si="0"/>
        <v>359.67250000000001</v>
      </c>
      <c r="G27" s="37">
        <f t="shared" si="1"/>
        <v>345.28559999999999</v>
      </c>
      <c r="H27" s="28"/>
      <c r="I27" s="28"/>
      <c r="J27" s="28"/>
      <c r="K27" s="28"/>
      <c r="L27" s="28"/>
      <c r="M27" s="28"/>
      <c r="N27" s="28"/>
      <c r="O27" s="28"/>
      <c r="P27" s="28"/>
      <c r="Q27" s="28"/>
      <c r="R27" s="28"/>
      <c r="S27" s="28"/>
      <c r="T27" s="28"/>
      <c r="U27" s="28"/>
      <c r="V27" s="28"/>
      <c r="W27" s="28"/>
      <c r="X27" s="28"/>
      <c r="Y27" s="28"/>
      <c r="Z27" s="28"/>
    </row>
    <row r="28" spans="1:26" ht="12" customHeight="1" x14ac:dyDescent="0.35">
      <c r="A28" s="35" t="s">
        <v>89</v>
      </c>
      <c r="B28" s="36">
        <v>590.53560000000004</v>
      </c>
      <c r="C28" s="36">
        <v>589.34169999999995</v>
      </c>
      <c r="D28" s="36">
        <f t="shared" si="0"/>
        <v>589.34169999999995</v>
      </c>
      <c r="E28" s="36">
        <f t="shared" si="0"/>
        <v>589.34169999999995</v>
      </c>
      <c r="F28" s="36">
        <f t="shared" si="0"/>
        <v>589.34169999999995</v>
      </c>
      <c r="G28" s="37">
        <f t="shared" si="1"/>
        <v>565.76803199999995</v>
      </c>
      <c r="H28" s="28"/>
      <c r="I28" s="28"/>
      <c r="J28" s="28"/>
      <c r="K28" s="28"/>
      <c r="L28" s="28"/>
      <c r="M28" s="28"/>
      <c r="N28" s="28"/>
      <c r="O28" s="28"/>
      <c r="P28" s="28"/>
      <c r="Q28" s="28"/>
      <c r="R28" s="28"/>
      <c r="S28" s="28"/>
      <c r="T28" s="28"/>
      <c r="U28" s="28"/>
      <c r="V28" s="28"/>
      <c r="W28" s="28"/>
      <c r="X28" s="28"/>
      <c r="Y28" s="28"/>
      <c r="Z28" s="28"/>
    </row>
    <row r="29" spans="1:26" ht="12" customHeight="1" x14ac:dyDescent="0.35">
      <c r="A29" s="35" t="s">
        <v>90</v>
      </c>
      <c r="B29" s="36">
        <v>312.96159999999998</v>
      </c>
      <c r="C29" s="36">
        <v>388.55900000000003</v>
      </c>
      <c r="D29" s="36">
        <f t="shared" si="0"/>
        <v>388.55900000000003</v>
      </c>
      <c r="E29" s="36">
        <f t="shared" si="0"/>
        <v>388.55900000000003</v>
      </c>
      <c r="F29" s="36">
        <f t="shared" si="0"/>
        <v>388.55900000000003</v>
      </c>
      <c r="G29" s="37">
        <f t="shared" si="1"/>
        <v>373.01664</v>
      </c>
      <c r="H29" s="28"/>
      <c r="I29" s="28"/>
      <c r="J29" s="28"/>
      <c r="K29" s="28"/>
      <c r="L29" s="28"/>
      <c r="M29" s="28"/>
      <c r="N29" s="28"/>
      <c r="O29" s="28"/>
      <c r="P29" s="28"/>
      <c r="Q29" s="28"/>
      <c r="R29" s="28"/>
      <c r="S29" s="28"/>
      <c r="T29" s="28"/>
      <c r="U29" s="28"/>
      <c r="V29" s="28"/>
      <c r="W29" s="28"/>
      <c r="X29" s="28"/>
      <c r="Y29" s="28"/>
      <c r="Z29" s="28"/>
    </row>
    <row r="30" spans="1:26" ht="12" customHeight="1" x14ac:dyDescent="0.35">
      <c r="A30" s="35" t="s">
        <v>91</v>
      </c>
      <c r="B30" s="36">
        <v>276.22480000000002</v>
      </c>
      <c r="C30" s="36">
        <v>223.059</v>
      </c>
      <c r="D30" s="36">
        <f t="shared" si="0"/>
        <v>223.059</v>
      </c>
      <c r="E30" s="36">
        <f t="shared" si="0"/>
        <v>223.059</v>
      </c>
      <c r="F30" s="36">
        <f t="shared" si="0"/>
        <v>223.059</v>
      </c>
      <c r="G30" s="37">
        <f t="shared" si="1"/>
        <v>214.13664</v>
      </c>
      <c r="H30" s="28"/>
      <c r="I30" s="28"/>
      <c r="J30" s="28"/>
      <c r="K30" s="28"/>
      <c r="L30" s="28"/>
      <c r="M30" s="28"/>
      <c r="N30" s="28"/>
      <c r="O30" s="28"/>
      <c r="P30" s="28"/>
      <c r="Q30" s="28"/>
      <c r="R30" s="28"/>
      <c r="S30" s="28"/>
      <c r="T30" s="28"/>
      <c r="U30" s="28"/>
      <c r="V30" s="28"/>
      <c r="W30" s="28"/>
      <c r="X30" s="28"/>
      <c r="Y30" s="28"/>
      <c r="Z30" s="28"/>
    </row>
    <row r="31" spans="1:26" ht="12" customHeight="1" x14ac:dyDescent="0.35">
      <c r="A31" s="35" t="s">
        <v>53</v>
      </c>
      <c r="B31" s="36">
        <v>78.098100000000002</v>
      </c>
      <c r="C31" s="36">
        <v>79.092100000000002</v>
      </c>
      <c r="D31" s="36">
        <f t="shared" si="0"/>
        <v>79.092100000000002</v>
      </c>
      <c r="E31" s="36">
        <f t="shared" si="0"/>
        <v>79.092100000000002</v>
      </c>
      <c r="F31" s="36">
        <f t="shared" si="0"/>
        <v>79.092100000000002</v>
      </c>
      <c r="G31" s="37">
        <f t="shared" si="1"/>
        <v>75.928415999999999</v>
      </c>
      <c r="H31" s="28"/>
      <c r="I31" s="28"/>
      <c r="J31" s="28"/>
      <c r="K31" s="28"/>
      <c r="L31" s="28"/>
      <c r="M31" s="28"/>
      <c r="N31" s="28"/>
      <c r="O31" s="28"/>
      <c r="P31" s="28"/>
      <c r="Q31" s="28"/>
      <c r="R31" s="28"/>
      <c r="S31" s="28"/>
      <c r="T31" s="28"/>
      <c r="U31" s="28"/>
      <c r="V31" s="28"/>
      <c r="W31" s="28"/>
      <c r="X31" s="28"/>
      <c r="Y31" s="28"/>
      <c r="Z31" s="28"/>
    </row>
    <row r="32" spans="1:26" ht="12" customHeight="1" x14ac:dyDescent="0.35">
      <c r="A32" s="35" t="s">
        <v>92</v>
      </c>
      <c r="B32" s="36">
        <v>466.60660000000001</v>
      </c>
      <c r="C32" s="36">
        <v>460.88819999999998</v>
      </c>
      <c r="D32" s="36">
        <f t="shared" ref="D32:F47" si="2">C32</f>
        <v>460.88819999999998</v>
      </c>
      <c r="E32" s="36">
        <f t="shared" si="2"/>
        <v>460.88819999999998</v>
      </c>
      <c r="F32" s="36">
        <f t="shared" si="2"/>
        <v>460.88819999999998</v>
      </c>
      <c r="G32" s="37">
        <f t="shared" si="1"/>
        <v>442.45267199999995</v>
      </c>
      <c r="H32" s="28"/>
      <c r="I32" s="28"/>
      <c r="J32" s="28"/>
      <c r="K32" s="28"/>
      <c r="L32" s="28"/>
      <c r="M32" s="28"/>
      <c r="N32" s="28"/>
      <c r="O32" s="28"/>
      <c r="P32" s="28"/>
      <c r="Q32" s="28"/>
      <c r="R32" s="28"/>
      <c r="S32" s="28"/>
      <c r="T32" s="28"/>
      <c r="U32" s="28"/>
      <c r="V32" s="28"/>
      <c r="W32" s="28"/>
      <c r="X32" s="28"/>
      <c r="Y32" s="28"/>
      <c r="Z32" s="28"/>
    </row>
    <row r="33" spans="1:26" ht="12" customHeight="1" x14ac:dyDescent="0.35">
      <c r="A33" s="35" t="s">
        <v>93</v>
      </c>
      <c r="B33" s="36">
        <v>725.41890000000001</v>
      </c>
      <c r="C33" s="36">
        <v>718.26379999999995</v>
      </c>
      <c r="D33" s="36">
        <f t="shared" si="2"/>
        <v>718.26379999999995</v>
      </c>
      <c r="E33" s="36">
        <f t="shared" si="2"/>
        <v>718.26379999999995</v>
      </c>
      <c r="F33" s="36">
        <f t="shared" si="2"/>
        <v>718.26379999999995</v>
      </c>
      <c r="G33" s="37">
        <f t="shared" si="1"/>
        <v>689.53324799999996</v>
      </c>
      <c r="H33" s="28"/>
      <c r="I33" s="28"/>
      <c r="J33" s="28"/>
      <c r="K33" s="28"/>
      <c r="L33" s="28"/>
      <c r="M33" s="28"/>
      <c r="N33" s="28"/>
      <c r="O33" s="28"/>
      <c r="P33" s="28"/>
      <c r="Q33" s="28"/>
      <c r="R33" s="28"/>
      <c r="S33" s="28"/>
      <c r="T33" s="28"/>
      <c r="U33" s="28"/>
      <c r="V33" s="28"/>
      <c r="W33" s="28"/>
      <c r="X33" s="28"/>
      <c r="Y33" s="28"/>
      <c r="Z33" s="28"/>
    </row>
    <row r="34" spans="1:26" ht="12" customHeight="1" x14ac:dyDescent="0.35">
      <c r="A34" s="35" t="s">
        <v>94</v>
      </c>
      <c r="B34" s="36">
        <v>349.14659999999998</v>
      </c>
      <c r="C34" s="36">
        <v>285.67919999999998</v>
      </c>
      <c r="D34" s="36">
        <f t="shared" si="2"/>
        <v>285.67919999999998</v>
      </c>
      <c r="E34" s="36">
        <f t="shared" si="2"/>
        <v>285.67919999999998</v>
      </c>
      <c r="F34" s="36">
        <f t="shared" si="2"/>
        <v>285.67919999999998</v>
      </c>
      <c r="G34" s="37">
        <f t="shared" si="1"/>
        <v>274.25203199999999</v>
      </c>
      <c r="H34" s="28"/>
      <c r="I34" s="28"/>
      <c r="J34" s="28"/>
      <c r="K34" s="28"/>
      <c r="L34" s="28"/>
      <c r="M34" s="28"/>
      <c r="N34" s="28"/>
      <c r="O34" s="28"/>
      <c r="P34" s="28"/>
      <c r="Q34" s="28"/>
      <c r="R34" s="28"/>
      <c r="S34" s="28"/>
      <c r="T34" s="28"/>
      <c r="U34" s="28"/>
      <c r="V34" s="28"/>
      <c r="W34" s="28"/>
      <c r="X34" s="28"/>
      <c r="Y34" s="28"/>
      <c r="Z34" s="28"/>
    </row>
    <row r="35" spans="1:26" ht="12" customHeight="1" x14ac:dyDescent="0.35">
      <c r="A35" s="35" t="s">
        <v>95</v>
      </c>
      <c r="B35" s="36">
        <v>345.74189999999999</v>
      </c>
      <c r="C35" s="36">
        <v>331.83960000000002</v>
      </c>
      <c r="D35" s="36">
        <f t="shared" si="2"/>
        <v>331.83960000000002</v>
      </c>
      <c r="E35" s="36">
        <f t="shared" si="2"/>
        <v>331.83960000000002</v>
      </c>
      <c r="F35" s="36">
        <f t="shared" si="2"/>
        <v>331.83960000000002</v>
      </c>
      <c r="G35" s="37">
        <f t="shared" si="1"/>
        <v>318.56601599999999</v>
      </c>
      <c r="H35" s="28"/>
      <c r="I35" s="28"/>
      <c r="J35" s="28"/>
      <c r="K35" s="28"/>
      <c r="L35" s="28"/>
      <c r="M35" s="28"/>
      <c r="N35" s="28"/>
      <c r="O35" s="28"/>
      <c r="P35" s="28"/>
      <c r="Q35" s="28"/>
      <c r="R35" s="28"/>
      <c r="S35" s="28"/>
      <c r="T35" s="28"/>
      <c r="U35" s="28"/>
      <c r="V35" s="28"/>
      <c r="W35" s="28"/>
      <c r="X35" s="28"/>
      <c r="Y35" s="28"/>
      <c r="Z35" s="28"/>
    </row>
    <row r="36" spans="1:26" ht="12" customHeight="1" x14ac:dyDescent="0.35">
      <c r="A36" s="35" t="s">
        <v>96</v>
      </c>
      <c r="B36" s="36">
        <v>762.97239999999999</v>
      </c>
      <c r="C36" s="36">
        <v>723.42589999999996</v>
      </c>
      <c r="D36" s="36">
        <f t="shared" si="2"/>
        <v>723.42589999999996</v>
      </c>
      <c r="E36" s="36">
        <f t="shared" si="2"/>
        <v>723.42589999999996</v>
      </c>
      <c r="F36" s="36">
        <f t="shared" si="2"/>
        <v>723.42589999999996</v>
      </c>
      <c r="G36" s="37">
        <f t="shared" si="1"/>
        <v>694.48886399999992</v>
      </c>
      <c r="H36" s="28"/>
      <c r="I36" s="28"/>
      <c r="J36" s="28"/>
      <c r="K36" s="28"/>
      <c r="L36" s="28"/>
      <c r="M36" s="28"/>
      <c r="N36" s="28"/>
      <c r="O36" s="28"/>
      <c r="P36" s="28"/>
      <c r="Q36" s="28"/>
      <c r="R36" s="28"/>
      <c r="S36" s="28"/>
      <c r="T36" s="28"/>
      <c r="U36" s="28"/>
      <c r="V36" s="28"/>
      <c r="W36" s="28"/>
      <c r="X36" s="28"/>
      <c r="Y36" s="28"/>
      <c r="Z36" s="28"/>
    </row>
    <row r="37" spans="1:26" ht="12" customHeight="1" x14ac:dyDescent="0.35">
      <c r="A37" s="35" t="s">
        <v>97</v>
      </c>
      <c r="B37" s="36">
        <v>313.18529999999998</v>
      </c>
      <c r="C37" s="36">
        <v>317.08339999999998</v>
      </c>
      <c r="D37" s="36">
        <f t="shared" si="2"/>
        <v>317.08339999999998</v>
      </c>
      <c r="E37" s="36">
        <f t="shared" si="2"/>
        <v>317.08339999999998</v>
      </c>
      <c r="F37" s="36">
        <f t="shared" si="2"/>
        <v>317.08339999999998</v>
      </c>
      <c r="G37" s="37">
        <f t="shared" si="1"/>
        <v>304.40006399999999</v>
      </c>
      <c r="H37" s="28"/>
      <c r="I37" s="28"/>
      <c r="J37" s="28"/>
      <c r="K37" s="28"/>
      <c r="L37" s="28"/>
      <c r="M37" s="28"/>
      <c r="N37" s="28"/>
      <c r="O37" s="28"/>
      <c r="P37" s="28"/>
      <c r="Q37" s="28"/>
      <c r="R37" s="28"/>
      <c r="S37" s="28"/>
      <c r="T37" s="28"/>
      <c r="U37" s="28"/>
      <c r="V37" s="28"/>
      <c r="W37" s="28"/>
      <c r="X37" s="28"/>
      <c r="Y37" s="28"/>
      <c r="Z37" s="28"/>
    </row>
    <row r="38" spans="1:26" ht="12" customHeight="1" x14ac:dyDescent="0.35">
      <c r="A38" s="35" t="s">
        <v>98</v>
      </c>
      <c r="B38" s="36">
        <v>945.13800000000003</v>
      </c>
      <c r="C38" s="36">
        <v>912.39160000000004</v>
      </c>
      <c r="D38" s="36">
        <f t="shared" si="2"/>
        <v>912.39160000000004</v>
      </c>
      <c r="E38" s="36">
        <f t="shared" si="2"/>
        <v>912.39160000000004</v>
      </c>
      <c r="F38" s="36">
        <f t="shared" si="2"/>
        <v>912.39160000000004</v>
      </c>
      <c r="G38" s="37">
        <f t="shared" si="1"/>
        <v>875.89593600000001</v>
      </c>
      <c r="H38" s="28"/>
      <c r="I38" s="28"/>
      <c r="J38" s="28"/>
      <c r="K38" s="28"/>
      <c r="L38" s="28"/>
      <c r="M38" s="28"/>
      <c r="N38" s="28"/>
      <c r="O38" s="28"/>
      <c r="P38" s="28"/>
      <c r="Q38" s="28"/>
      <c r="R38" s="28"/>
      <c r="S38" s="28"/>
      <c r="T38" s="28"/>
      <c r="U38" s="28"/>
      <c r="V38" s="28"/>
      <c r="W38" s="28"/>
      <c r="X38" s="28"/>
      <c r="Y38" s="28"/>
      <c r="Z38" s="28"/>
    </row>
    <row r="39" spans="1:26" ht="12" customHeight="1" x14ac:dyDescent="0.35">
      <c r="A39" s="35" t="s">
        <v>99</v>
      </c>
      <c r="B39" s="36">
        <v>451.5994</v>
      </c>
      <c r="C39" s="36">
        <v>458.04379999999998</v>
      </c>
      <c r="D39" s="36">
        <f t="shared" si="2"/>
        <v>458.04379999999998</v>
      </c>
      <c r="E39" s="36">
        <f t="shared" si="2"/>
        <v>458.04379999999998</v>
      </c>
      <c r="F39" s="36">
        <f t="shared" si="2"/>
        <v>458.04379999999998</v>
      </c>
      <c r="G39" s="37">
        <f t="shared" si="1"/>
        <v>439.72204799999997</v>
      </c>
      <c r="H39" s="28"/>
      <c r="I39" s="28"/>
      <c r="J39" s="28"/>
      <c r="K39" s="28"/>
      <c r="L39" s="28"/>
      <c r="M39" s="28"/>
      <c r="N39" s="28"/>
      <c r="O39" s="28"/>
      <c r="P39" s="28"/>
      <c r="Q39" s="28"/>
      <c r="R39" s="28"/>
      <c r="S39" s="28"/>
      <c r="T39" s="28"/>
      <c r="U39" s="28"/>
      <c r="V39" s="28"/>
      <c r="W39" s="28"/>
      <c r="X39" s="28"/>
      <c r="Y39" s="28"/>
      <c r="Z39" s="28"/>
    </row>
    <row r="40" spans="1:26" ht="12" customHeight="1" x14ac:dyDescent="0.35">
      <c r="A40" s="35" t="s">
        <v>100</v>
      </c>
      <c r="B40" s="36">
        <v>411.2396</v>
      </c>
      <c r="C40" s="36">
        <v>406.30900000000003</v>
      </c>
      <c r="D40" s="36">
        <f t="shared" si="2"/>
        <v>406.30900000000003</v>
      </c>
      <c r="E40" s="36">
        <f t="shared" si="2"/>
        <v>406.30900000000003</v>
      </c>
      <c r="F40" s="36">
        <f t="shared" si="2"/>
        <v>406.30900000000003</v>
      </c>
      <c r="G40" s="37">
        <f t="shared" si="1"/>
        <v>390.05664000000002</v>
      </c>
      <c r="H40" s="28"/>
      <c r="I40" s="28"/>
      <c r="J40" s="28"/>
      <c r="K40" s="28"/>
      <c r="L40" s="28"/>
      <c r="M40" s="28"/>
      <c r="N40" s="28"/>
      <c r="O40" s="28"/>
      <c r="P40" s="28"/>
      <c r="Q40" s="28"/>
      <c r="R40" s="28"/>
      <c r="S40" s="28"/>
      <c r="T40" s="28"/>
      <c r="U40" s="28"/>
      <c r="V40" s="28"/>
      <c r="W40" s="28"/>
      <c r="X40" s="28"/>
      <c r="Y40" s="28"/>
      <c r="Z40" s="28"/>
    </row>
    <row r="41" spans="1:26" ht="12" customHeight="1" x14ac:dyDescent="0.35">
      <c r="A41" s="35" t="s">
        <v>101</v>
      </c>
      <c r="B41" s="36">
        <v>415.67169999999999</v>
      </c>
      <c r="C41" s="36">
        <v>416.4083</v>
      </c>
      <c r="D41" s="36">
        <f t="shared" si="2"/>
        <v>416.4083</v>
      </c>
      <c r="E41" s="36">
        <f t="shared" si="2"/>
        <v>416.4083</v>
      </c>
      <c r="F41" s="36">
        <f t="shared" si="2"/>
        <v>416.4083</v>
      </c>
      <c r="G41" s="37">
        <f t="shared" si="1"/>
        <v>399.75196799999998</v>
      </c>
      <c r="H41" s="28"/>
      <c r="I41" s="28"/>
      <c r="J41" s="28"/>
      <c r="K41" s="28"/>
      <c r="L41" s="28"/>
      <c r="M41" s="28"/>
      <c r="N41" s="28"/>
      <c r="O41" s="28"/>
      <c r="P41" s="28"/>
      <c r="Q41" s="28"/>
      <c r="R41" s="28"/>
      <c r="S41" s="28"/>
      <c r="T41" s="28"/>
      <c r="U41" s="28"/>
      <c r="V41" s="28"/>
      <c r="W41" s="28"/>
      <c r="X41" s="28"/>
      <c r="Y41" s="28"/>
      <c r="Z41" s="28"/>
    </row>
    <row r="42" spans="1:26" ht="12" customHeight="1" x14ac:dyDescent="0.35">
      <c r="A42" s="35" t="s">
        <v>102</v>
      </c>
      <c r="B42" s="36">
        <v>599.69110000000001</v>
      </c>
      <c r="C42" s="36">
        <v>727.37570000000005</v>
      </c>
      <c r="D42" s="36">
        <f t="shared" si="2"/>
        <v>727.37570000000005</v>
      </c>
      <c r="E42" s="36">
        <f t="shared" si="2"/>
        <v>727.37570000000005</v>
      </c>
      <c r="F42" s="36">
        <f t="shared" si="2"/>
        <v>727.37570000000005</v>
      </c>
      <c r="G42" s="37">
        <f t="shared" si="1"/>
        <v>698.28067199999998</v>
      </c>
      <c r="H42" s="28"/>
      <c r="I42" s="28"/>
      <c r="J42" s="28"/>
      <c r="K42" s="28"/>
      <c r="L42" s="28"/>
      <c r="M42" s="28"/>
      <c r="N42" s="28"/>
      <c r="O42" s="28"/>
      <c r="P42" s="28"/>
      <c r="Q42" s="28"/>
      <c r="R42" s="28"/>
      <c r="S42" s="28"/>
      <c r="T42" s="28"/>
      <c r="U42" s="28"/>
      <c r="V42" s="28"/>
      <c r="W42" s="28"/>
      <c r="X42" s="28"/>
      <c r="Y42" s="28"/>
      <c r="Z42" s="28"/>
    </row>
    <row r="43" spans="1:26" ht="12" customHeight="1" x14ac:dyDescent="0.35">
      <c r="A43" s="35" t="s">
        <v>51</v>
      </c>
      <c r="B43" s="36">
        <v>454.98309999999998</v>
      </c>
      <c r="C43" s="36">
        <v>454.83409999999998</v>
      </c>
      <c r="D43" s="36">
        <f t="shared" si="2"/>
        <v>454.83409999999998</v>
      </c>
      <c r="E43" s="36">
        <f t="shared" si="2"/>
        <v>454.83409999999998</v>
      </c>
      <c r="F43" s="36">
        <f t="shared" si="2"/>
        <v>454.83409999999998</v>
      </c>
      <c r="G43" s="37">
        <f t="shared" si="1"/>
        <v>436.64073599999995</v>
      </c>
      <c r="H43" s="28"/>
      <c r="I43" s="28"/>
      <c r="J43" s="28"/>
      <c r="K43" s="28"/>
      <c r="L43" s="28"/>
      <c r="M43" s="28"/>
      <c r="N43" s="28"/>
      <c r="O43" s="28"/>
      <c r="P43" s="28"/>
      <c r="Q43" s="28"/>
      <c r="R43" s="28"/>
      <c r="S43" s="28"/>
      <c r="T43" s="28"/>
      <c r="U43" s="28"/>
      <c r="V43" s="28"/>
      <c r="W43" s="28"/>
      <c r="X43" s="28"/>
      <c r="Y43" s="28"/>
      <c r="Z43" s="28"/>
    </row>
    <row r="44" spans="1:26" ht="12" customHeight="1" x14ac:dyDescent="0.35">
      <c r="A44" s="35" t="s">
        <v>103</v>
      </c>
      <c r="B44" s="36">
        <v>690.12630000000001</v>
      </c>
      <c r="C44" s="36">
        <v>717.77419999999995</v>
      </c>
      <c r="D44" s="36">
        <f t="shared" si="2"/>
        <v>717.77419999999995</v>
      </c>
      <c r="E44" s="36">
        <f t="shared" si="2"/>
        <v>717.77419999999995</v>
      </c>
      <c r="F44" s="36">
        <f t="shared" si="2"/>
        <v>717.77419999999995</v>
      </c>
      <c r="G44" s="37">
        <f t="shared" si="1"/>
        <v>689.06323199999997</v>
      </c>
      <c r="H44" s="28"/>
      <c r="I44" s="28"/>
      <c r="J44" s="28"/>
      <c r="K44" s="28"/>
      <c r="L44" s="28"/>
      <c r="M44" s="28"/>
      <c r="N44" s="28"/>
      <c r="O44" s="28"/>
      <c r="P44" s="28"/>
      <c r="Q44" s="28"/>
      <c r="R44" s="28"/>
      <c r="S44" s="28"/>
      <c r="T44" s="28"/>
      <c r="U44" s="28"/>
      <c r="V44" s="28"/>
      <c r="W44" s="28"/>
      <c r="X44" s="28"/>
      <c r="Y44" s="28"/>
      <c r="Z44" s="28"/>
    </row>
    <row r="45" spans="1:26" ht="12" customHeight="1" x14ac:dyDescent="0.35">
      <c r="A45" s="35" t="s">
        <v>104</v>
      </c>
      <c r="B45" s="36">
        <v>419.75060000000002</v>
      </c>
      <c r="C45" s="36">
        <v>414.85270000000003</v>
      </c>
      <c r="D45" s="36">
        <f t="shared" si="2"/>
        <v>414.85270000000003</v>
      </c>
      <c r="E45" s="36">
        <f t="shared" si="2"/>
        <v>414.85270000000003</v>
      </c>
      <c r="F45" s="36">
        <f t="shared" si="2"/>
        <v>414.85270000000003</v>
      </c>
      <c r="G45" s="37">
        <f t="shared" si="1"/>
        <v>398.25859200000002</v>
      </c>
      <c r="H45" s="28"/>
      <c r="I45" s="28"/>
      <c r="J45" s="28"/>
      <c r="K45" s="28"/>
      <c r="L45" s="28"/>
      <c r="M45" s="28"/>
      <c r="N45" s="28"/>
      <c r="O45" s="28"/>
      <c r="P45" s="28"/>
      <c r="Q45" s="28"/>
      <c r="R45" s="28"/>
      <c r="S45" s="28"/>
      <c r="T45" s="28"/>
      <c r="U45" s="28"/>
      <c r="V45" s="28"/>
      <c r="W45" s="28"/>
      <c r="X45" s="28"/>
      <c r="Y45" s="28"/>
      <c r="Z45" s="28"/>
    </row>
    <row r="46" spans="1:26" ht="12" customHeight="1" x14ac:dyDescent="0.35">
      <c r="A46" s="35" t="s">
        <v>105</v>
      </c>
      <c r="B46" s="36">
        <v>167.33959999999999</v>
      </c>
      <c r="C46" s="36">
        <v>150.2037</v>
      </c>
      <c r="D46" s="36">
        <f t="shared" si="2"/>
        <v>150.2037</v>
      </c>
      <c r="E46" s="36">
        <f t="shared" si="2"/>
        <v>150.2037</v>
      </c>
      <c r="F46" s="36">
        <f t="shared" si="2"/>
        <v>150.2037</v>
      </c>
      <c r="G46" s="37">
        <f t="shared" si="1"/>
        <v>144.19555199999999</v>
      </c>
      <c r="H46" s="28"/>
      <c r="I46" s="28"/>
      <c r="J46" s="28"/>
      <c r="K46" s="28"/>
      <c r="L46" s="28"/>
      <c r="M46" s="28"/>
      <c r="N46" s="28"/>
      <c r="O46" s="28"/>
      <c r="P46" s="28"/>
      <c r="Q46" s="28"/>
      <c r="R46" s="28"/>
      <c r="S46" s="28"/>
      <c r="T46" s="28"/>
      <c r="U46" s="28"/>
      <c r="V46" s="28"/>
      <c r="W46" s="28"/>
      <c r="X46" s="28"/>
      <c r="Y46" s="28"/>
      <c r="Z46" s="28"/>
    </row>
    <row r="47" spans="1:26" ht="12" customHeight="1" x14ac:dyDescent="0.35">
      <c r="A47" s="35" t="s">
        <v>106</v>
      </c>
      <c r="B47" s="36">
        <v>505.81229999999999</v>
      </c>
      <c r="C47" s="36">
        <v>460.08440000000002</v>
      </c>
      <c r="D47" s="36">
        <f t="shared" si="2"/>
        <v>460.08440000000002</v>
      </c>
      <c r="E47" s="36">
        <f t="shared" si="2"/>
        <v>460.08440000000002</v>
      </c>
      <c r="F47" s="36">
        <f t="shared" si="2"/>
        <v>460.08440000000002</v>
      </c>
      <c r="G47" s="37">
        <f t="shared" si="1"/>
        <v>441.68102399999998</v>
      </c>
      <c r="H47" s="28"/>
      <c r="I47" s="28"/>
      <c r="J47" s="28"/>
      <c r="K47" s="28"/>
      <c r="L47" s="28"/>
      <c r="M47" s="28"/>
      <c r="N47" s="28"/>
      <c r="O47" s="28"/>
      <c r="P47" s="28"/>
      <c r="Q47" s="28"/>
      <c r="R47" s="28"/>
      <c r="S47" s="28"/>
      <c r="T47" s="28"/>
      <c r="U47" s="28"/>
      <c r="V47" s="28"/>
      <c r="W47" s="28"/>
      <c r="X47" s="28"/>
      <c r="Y47" s="28"/>
      <c r="Z47" s="28"/>
    </row>
    <row r="48" spans="1:26" ht="12" customHeight="1" x14ac:dyDescent="0.35">
      <c r="A48" s="35" t="s">
        <v>107</v>
      </c>
      <c r="B48" s="36">
        <v>457.72469999999998</v>
      </c>
      <c r="C48" s="36">
        <v>424.66460000000001</v>
      </c>
      <c r="D48" s="36">
        <f t="shared" ref="D48:F63" si="3">C48</f>
        <v>424.66460000000001</v>
      </c>
      <c r="E48" s="36">
        <f t="shared" si="3"/>
        <v>424.66460000000001</v>
      </c>
      <c r="F48" s="36">
        <f t="shared" si="3"/>
        <v>424.66460000000001</v>
      </c>
      <c r="G48" s="37">
        <f t="shared" si="1"/>
        <v>407.67801600000001</v>
      </c>
      <c r="H48" s="28"/>
      <c r="I48" s="28"/>
      <c r="J48" s="28"/>
      <c r="K48" s="28"/>
      <c r="L48" s="28"/>
      <c r="M48" s="28"/>
      <c r="N48" s="28"/>
      <c r="O48" s="28"/>
      <c r="P48" s="28"/>
      <c r="Q48" s="28"/>
      <c r="R48" s="28"/>
      <c r="S48" s="28"/>
      <c r="T48" s="28"/>
      <c r="U48" s="28"/>
      <c r="V48" s="28"/>
      <c r="W48" s="28"/>
      <c r="X48" s="28"/>
      <c r="Y48" s="28"/>
      <c r="Z48" s="28"/>
    </row>
    <row r="49" spans="1:26" ht="12" customHeight="1" x14ac:dyDescent="0.35">
      <c r="A49" s="35" t="s">
        <v>108</v>
      </c>
      <c r="B49" s="36">
        <v>300.0575</v>
      </c>
      <c r="C49" s="36">
        <v>297.82380000000001</v>
      </c>
      <c r="D49" s="36">
        <f t="shared" si="3"/>
        <v>297.82380000000001</v>
      </c>
      <c r="E49" s="36">
        <f t="shared" si="3"/>
        <v>297.82380000000001</v>
      </c>
      <c r="F49" s="36">
        <f t="shared" si="3"/>
        <v>297.82380000000001</v>
      </c>
      <c r="G49" s="37">
        <f t="shared" si="1"/>
        <v>285.91084799999999</v>
      </c>
      <c r="H49" s="28"/>
      <c r="I49" s="28"/>
      <c r="J49" s="28"/>
      <c r="K49" s="28"/>
      <c r="L49" s="28"/>
      <c r="M49" s="28"/>
      <c r="N49" s="28"/>
      <c r="O49" s="28"/>
      <c r="P49" s="28"/>
      <c r="Q49" s="28"/>
      <c r="R49" s="28"/>
      <c r="S49" s="28"/>
      <c r="T49" s="28"/>
      <c r="U49" s="28"/>
      <c r="V49" s="28"/>
      <c r="W49" s="28"/>
      <c r="X49" s="28"/>
      <c r="Y49" s="28"/>
      <c r="Z49" s="28"/>
    </row>
    <row r="50" spans="1:26" ht="12" customHeight="1" x14ac:dyDescent="0.35">
      <c r="A50" s="35" t="s">
        <v>109</v>
      </c>
      <c r="B50" s="36">
        <v>475.16109999999998</v>
      </c>
      <c r="C50" s="36">
        <v>481.00069999999999</v>
      </c>
      <c r="D50" s="36">
        <f t="shared" si="3"/>
        <v>481.00069999999999</v>
      </c>
      <c r="E50" s="36">
        <f t="shared" si="3"/>
        <v>481.00069999999999</v>
      </c>
      <c r="F50" s="36">
        <f t="shared" si="3"/>
        <v>481.00069999999999</v>
      </c>
      <c r="G50" s="37">
        <f t="shared" si="1"/>
        <v>461.760672</v>
      </c>
      <c r="H50" s="28"/>
      <c r="I50" s="28"/>
      <c r="J50" s="28"/>
      <c r="K50" s="28"/>
      <c r="L50" s="28"/>
      <c r="M50" s="28"/>
      <c r="N50" s="28"/>
      <c r="O50" s="28"/>
      <c r="P50" s="28"/>
      <c r="Q50" s="28"/>
      <c r="R50" s="28"/>
      <c r="S50" s="28"/>
      <c r="T50" s="28"/>
      <c r="U50" s="28"/>
      <c r="V50" s="28"/>
      <c r="W50" s="28"/>
      <c r="X50" s="28"/>
      <c r="Y50" s="28"/>
      <c r="Z50" s="28"/>
    </row>
    <row r="51" spans="1:26" ht="12" customHeight="1" x14ac:dyDescent="0.35">
      <c r="A51" s="35" t="s">
        <v>110</v>
      </c>
      <c r="B51" s="36">
        <v>798.65309999999999</v>
      </c>
      <c r="C51" s="36">
        <v>781.3546</v>
      </c>
      <c r="D51" s="36">
        <f t="shared" si="3"/>
        <v>781.3546</v>
      </c>
      <c r="E51" s="36">
        <f t="shared" si="3"/>
        <v>781.3546</v>
      </c>
      <c r="F51" s="36">
        <f t="shared" si="3"/>
        <v>781.3546</v>
      </c>
      <c r="G51" s="37">
        <f t="shared" si="1"/>
        <v>750.100416</v>
      </c>
      <c r="H51" s="28"/>
      <c r="I51" s="28"/>
      <c r="J51" s="28"/>
      <c r="K51" s="28"/>
      <c r="L51" s="28"/>
      <c r="M51" s="28"/>
      <c r="N51" s="28"/>
      <c r="O51" s="28"/>
      <c r="P51" s="28"/>
      <c r="Q51" s="28"/>
      <c r="R51" s="28"/>
      <c r="S51" s="28"/>
      <c r="T51" s="28"/>
      <c r="U51" s="28"/>
      <c r="V51" s="28"/>
      <c r="W51" s="28"/>
      <c r="X51" s="28"/>
      <c r="Y51" s="28"/>
      <c r="Z51" s="28"/>
    </row>
    <row r="52" spans="1:26" ht="12" customHeight="1" x14ac:dyDescent="0.35">
      <c r="A52" s="35" t="s">
        <v>111</v>
      </c>
      <c r="B52" s="36">
        <v>379.15879999999999</v>
      </c>
      <c r="C52" s="36">
        <v>255.3142</v>
      </c>
      <c r="D52" s="36">
        <f t="shared" si="3"/>
        <v>255.3142</v>
      </c>
      <c r="E52" s="36">
        <f t="shared" si="3"/>
        <v>255.3142</v>
      </c>
      <c r="F52" s="36">
        <f t="shared" si="3"/>
        <v>255.3142</v>
      </c>
      <c r="G52" s="37">
        <f t="shared" si="1"/>
        <v>245.101632</v>
      </c>
      <c r="H52" s="28"/>
      <c r="I52" s="28"/>
      <c r="J52" s="28"/>
      <c r="K52" s="28"/>
      <c r="L52" s="28"/>
      <c r="M52" s="28"/>
      <c r="N52" s="28"/>
      <c r="O52" s="28"/>
      <c r="P52" s="28"/>
      <c r="Q52" s="28"/>
      <c r="R52" s="28"/>
      <c r="S52" s="28"/>
      <c r="T52" s="28"/>
      <c r="U52" s="28"/>
      <c r="V52" s="28"/>
      <c r="W52" s="28"/>
      <c r="X52" s="28"/>
      <c r="Y52" s="28"/>
      <c r="Z52" s="28"/>
    </row>
    <row r="53" spans="1:26" ht="12" customHeight="1" x14ac:dyDescent="0.35">
      <c r="A53" s="35" t="s">
        <v>112</v>
      </c>
      <c r="B53" s="36">
        <v>574.72249999999997</v>
      </c>
      <c r="C53" s="36">
        <v>499.01620000000003</v>
      </c>
      <c r="D53" s="36">
        <f t="shared" si="3"/>
        <v>499.01620000000003</v>
      </c>
      <c r="E53" s="36">
        <f t="shared" si="3"/>
        <v>499.01620000000003</v>
      </c>
      <c r="F53" s="36">
        <f t="shared" si="3"/>
        <v>499.01620000000003</v>
      </c>
      <c r="G53" s="37">
        <f t="shared" si="1"/>
        <v>479.05555200000003</v>
      </c>
      <c r="H53" s="28"/>
      <c r="I53" s="28"/>
      <c r="J53" s="28"/>
      <c r="K53" s="28"/>
      <c r="L53" s="28"/>
      <c r="M53" s="28"/>
      <c r="N53" s="28"/>
      <c r="O53" s="28"/>
      <c r="P53" s="28"/>
      <c r="Q53" s="28"/>
      <c r="R53" s="28"/>
      <c r="S53" s="28"/>
      <c r="T53" s="28"/>
      <c r="U53" s="28"/>
      <c r="V53" s="28"/>
      <c r="W53" s="28"/>
      <c r="X53" s="28"/>
      <c r="Y53" s="28"/>
      <c r="Z53" s="28"/>
    </row>
    <row r="54" spans="1:26" ht="12" customHeight="1" x14ac:dyDescent="0.35">
      <c r="A54" s="35" t="s">
        <v>113</v>
      </c>
      <c r="B54" s="36">
        <v>684.3075</v>
      </c>
      <c r="C54" s="36">
        <v>638.87249999999995</v>
      </c>
      <c r="D54" s="36">
        <f t="shared" si="3"/>
        <v>638.87249999999995</v>
      </c>
      <c r="E54" s="36">
        <f t="shared" si="3"/>
        <v>638.87249999999995</v>
      </c>
      <c r="F54" s="36">
        <f t="shared" si="3"/>
        <v>638.87249999999995</v>
      </c>
      <c r="G54" s="37">
        <f t="shared" si="1"/>
        <v>613.31759999999997</v>
      </c>
      <c r="H54" s="28"/>
      <c r="I54" s="28"/>
      <c r="J54" s="28"/>
      <c r="K54" s="28"/>
      <c r="L54" s="28"/>
      <c r="M54" s="28"/>
      <c r="N54" s="28"/>
      <c r="O54" s="28"/>
      <c r="P54" s="28"/>
      <c r="Q54" s="28"/>
      <c r="R54" s="28"/>
      <c r="S54" s="28"/>
      <c r="T54" s="28"/>
      <c r="U54" s="28"/>
      <c r="V54" s="28"/>
      <c r="W54" s="28"/>
      <c r="X54" s="28"/>
      <c r="Y54" s="28"/>
      <c r="Z54" s="28"/>
    </row>
    <row r="55" spans="1:26" ht="12" customHeight="1" x14ac:dyDescent="0.35">
      <c r="A55" s="35" t="s">
        <v>114</v>
      </c>
      <c r="B55" s="36">
        <v>757.23249999999996</v>
      </c>
      <c r="C55" s="36">
        <v>736.78330000000005</v>
      </c>
      <c r="D55" s="36">
        <f t="shared" si="3"/>
        <v>736.78330000000005</v>
      </c>
      <c r="E55" s="36">
        <f t="shared" si="3"/>
        <v>736.78330000000005</v>
      </c>
      <c r="F55" s="36">
        <f t="shared" si="3"/>
        <v>736.78330000000005</v>
      </c>
      <c r="G55" s="37">
        <f t="shared" si="1"/>
        <v>707.31196799999998</v>
      </c>
      <c r="H55" s="28"/>
      <c r="I55" s="28"/>
      <c r="J55" s="28"/>
      <c r="K55" s="28"/>
      <c r="L55" s="28"/>
      <c r="M55" s="28"/>
      <c r="N55" s="28"/>
      <c r="O55" s="28"/>
      <c r="P55" s="28"/>
      <c r="Q55" s="28"/>
      <c r="R55" s="28"/>
      <c r="S55" s="28"/>
      <c r="T55" s="28"/>
      <c r="U55" s="28"/>
      <c r="V55" s="28"/>
      <c r="W55" s="28"/>
      <c r="X55" s="28"/>
      <c r="Y55" s="28"/>
      <c r="Z55" s="28"/>
    </row>
    <row r="56" spans="1:26" ht="12" customHeight="1" x14ac:dyDescent="0.35">
      <c r="A56" s="35" t="s">
        <v>115</v>
      </c>
      <c r="B56" s="36">
        <v>318.47649999999999</v>
      </c>
      <c r="C56" s="36">
        <v>324.90499999999997</v>
      </c>
      <c r="D56" s="36">
        <f t="shared" si="3"/>
        <v>324.90499999999997</v>
      </c>
      <c r="E56" s="36">
        <f t="shared" si="3"/>
        <v>324.90499999999997</v>
      </c>
      <c r="F56" s="36">
        <f t="shared" si="3"/>
        <v>324.90499999999997</v>
      </c>
      <c r="G56" s="37">
        <f t="shared" si="1"/>
        <v>311.90879999999999</v>
      </c>
      <c r="H56" s="28"/>
      <c r="I56" s="28"/>
      <c r="J56" s="28"/>
      <c r="K56" s="28"/>
      <c r="L56" s="28"/>
      <c r="M56" s="28"/>
      <c r="N56" s="28"/>
      <c r="O56" s="28"/>
      <c r="P56" s="28"/>
      <c r="Q56" s="28"/>
      <c r="R56" s="28"/>
      <c r="S56" s="28"/>
      <c r="T56" s="28"/>
      <c r="U56" s="28"/>
      <c r="V56" s="28"/>
      <c r="W56" s="28"/>
      <c r="X56" s="28"/>
      <c r="Y56" s="28"/>
      <c r="Z56" s="28"/>
    </row>
    <row r="57" spans="1:26" ht="12" customHeight="1" x14ac:dyDescent="0.35">
      <c r="A57" s="35" t="s">
        <v>54</v>
      </c>
      <c r="B57" s="36">
        <v>905.65129999999999</v>
      </c>
      <c r="C57" s="36">
        <v>926.53679999999997</v>
      </c>
      <c r="D57" s="36">
        <f t="shared" si="3"/>
        <v>926.53679999999997</v>
      </c>
      <c r="E57" s="36">
        <f t="shared" si="3"/>
        <v>926.53679999999997</v>
      </c>
      <c r="F57" s="36">
        <f t="shared" si="3"/>
        <v>926.53679999999997</v>
      </c>
      <c r="G57" s="37">
        <f t="shared" si="1"/>
        <v>889.47532799999999</v>
      </c>
      <c r="H57" s="28"/>
      <c r="I57" s="28"/>
      <c r="J57" s="28"/>
      <c r="K57" s="28"/>
      <c r="L57" s="28"/>
      <c r="M57" s="28"/>
      <c r="N57" s="28"/>
      <c r="O57" s="28"/>
      <c r="P57" s="28"/>
      <c r="Q57" s="28"/>
      <c r="R57" s="28"/>
      <c r="S57" s="28"/>
      <c r="T57" s="28"/>
      <c r="U57" s="28"/>
      <c r="V57" s="28"/>
      <c r="W57" s="28"/>
      <c r="X57" s="28"/>
      <c r="Y57" s="28"/>
      <c r="Z57" s="28"/>
    </row>
    <row r="58" spans="1:26" ht="12" customHeight="1" x14ac:dyDescent="0.35">
      <c r="A58" s="35" t="s">
        <v>116</v>
      </c>
      <c r="B58" s="36">
        <v>296.87580000000003</v>
      </c>
      <c r="C58" s="36">
        <v>237.97800000000001</v>
      </c>
      <c r="D58" s="36">
        <f t="shared" si="3"/>
        <v>237.97800000000001</v>
      </c>
      <c r="E58" s="36">
        <f t="shared" si="3"/>
        <v>237.97800000000001</v>
      </c>
      <c r="F58" s="36">
        <f t="shared" si="3"/>
        <v>237.97800000000001</v>
      </c>
      <c r="G58" s="37">
        <f t="shared" si="1"/>
        <v>228.45887999999999</v>
      </c>
      <c r="H58" s="28"/>
      <c r="I58" s="28"/>
      <c r="J58" s="28"/>
      <c r="K58" s="28"/>
      <c r="L58" s="28"/>
      <c r="M58" s="28"/>
      <c r="N58" s="28"/>
      <c r="O58" s="28"/>
      <c r="P58" s="28"/>
      <c r="Q58" s="28"/>
      <c r="R58" s="28"/>
      <c r="S58" s="28"/>
      <c r="T58" s="28"/>
      <c r="U58" s="28"/>
      <c r="V58" s="28"/>
      <c r="W58" s="28"/>
      <c r="X58" s="28"/>
      <c r="Y58" s="28"/>
      <c r="Z58" s="28"/>
    </row>
    <row r="59" spans="1:26" ht="12" customHeight="1" x14ac:dyDescent="0.35">
      <c r="A59" s="35" t="s">
        <v>117</v>
      </c>
      <c r="B59" s="36">
        <v>26.069500000000001</v>
      </c>
      <c r="C59" s="36">
        <v>27.307600000000001</v>
      </c>
      <c r="D59" s="36">
        <f t="shared" si="3"/>
        <v>27.307600000000001</v>
      </c>
      <c r="E59" s="36">
        <f t="shared" si="3"/>
        <v>27.307600000000001</v>
      </c>
      <c r="F59" s="36">
        <f t="shared" si="3"/>
        <v>27.307600000000001</v>
      </c>
      <c r="G59" s="37">
        <f t="shared" si="1"/>
        <v>26.215295999999999</v>
      </c>
      <c r="H59" s="28"/>
      <c r="I59" s="28"/>
      <c r="J59" s="28"/>
      <c r="K59" s="28"/>
      <c r="L59" s="28"/>
      <c r="M59" s="28"/>
      <c r="N59" s="28"/>
      <c r="O59" s="28"/>
      <c r="P59" s="28"/>
      <c r="Q59" s="28"/>
      <c r="R59" s="28"/>
      <c r="S59" s="28"/>
      <c r="T59" s="28"/>
      <c r="U59" s="28"/>
      <c r="V59" s="28"/>
      <c r="W59" s="28"/>
      <c r="X59" s="28"/>
      <c r="Y59" s="28"/>
      <c r="Z59" s="28"/>
    </row>
    <row r="60" spans="1:26" ht="12" customHeight="1" x14ac:dyDescent="0.35">
      <c r="A60" s="35" t="s">
        <v>118</v>
      </c>
      <c r="B60" s="36">
        <v>513.37860000000001</v>
      </c>
      <c r="C60" s="36">
        <v>512.88679999999999</v>
      </c>
      <c r="D60" s="36">
        <f t="shared" si="3"/>
        <v>512.88679999999999</v>
      </c>
      <c r="E60" s="36">
        <f t="shared" si="3"/>
        <v>512.88679999999999</v>
      </c>
      <c r="F60" s="36">
        <f t="shared" si="3"/>
        <v>512.88679999999999</v>
      </c>
      <c r="G60" s="37">
        <f t="shared" si="1"/>
        <v>492.37132799999995</v>
      </c>
      <c r="H60" s="28"/>
      <c r="I60" s="28"/>
      <c r="J60" s="28"/>
      <c r="K60" s="28"/>
      <c r="L60" s="28"/>
      <c r="M60" s="28"/>
      <c r="N60" s="28"/>
      <c r="O60" s="28"/>
      <c r="P60" s="28"/>
      <c r="Q60" s="28"/>
      <c r="R60" s="28"/>
      <c r="S60" s="28"/>
      <c r="T60" s="28"/>
      <c r="U60" s="28"/>
      <c r="V60" s="28"/>
      <c r="W60" s="28"/>
      <c r="X60" s="28"/>
      <c r="Y60" s="28"/>
      <c r="Z60" s="28"/>
    </row>
    <row r="61" spans="1:26" ht="12" customHeight="1" x14ac:dyDescent="0.35">
      <c r="A61" s="35" t="s">
        <v>119</v>
      </c>
      <c r="B61" s="36">
        <v>495.8451</v>
      </c>
      <c r="C61" s="36">
        <v>459.59820000000002</v>
      </c>
      <c r="D61" s="36">
        <f t="shared" si="3"/>
        <v>459.59820000000002</v>
      </c>
      <c r="E61" s="36">
        <f t="shared" si="3"/>
        <v>459.59820000000002</v>
      </c>
      <c r="F61" s="36">
        <f t="shared" si="3"/>
        <v>459.59820000000002</v>
      </c>
      <c r="G61" s="37">
        <f t="shared" si="1"/>
        <v>441.21427199999999</v>
      </c>
      <c r="H61" s="28"/>
      <c r="I61" s="28"/>
      <c r="J61" s="28"/>
      <c r="K61" s="28"/>
      <c r="L61" s="28"/>
      <c r="M61" s="28"/>
      <c r="N61" s="28"/>
      <c r="O61" s="28"/>
      <c r="P61" s="28"/>
      <c r="Q61" s="28"/>
      <c r="R61" s="28"/>
      <c r="S61" s="28"/>
      <c r="T61" s="28"/>
      <c r="U61" s="28"/>
      <c r="V61" s="28"/>
      <c r="W61" s="28"/>
      <c r="X61" s="28"/>
      <c r="Y61" s="28"/>
      <c r="Z61" s="28"/>
    </row>
    <row r="62" spans="1:26" ht="12" customHeight="1" x14ac:dyDescent="0.35">
      <c r="A62" s="35" t="s">
        <v>120</v>
      </c>
      <c r="B62" s="36">
        <v>416.6789</v>
      </c>
      <c r="C62" s="36">
        <v>419.07159999999999</v>
      </c>
      <c r="D62" s="36">
        <f t="shared" si="3"/>
        <v>419.07159999999999</v>
      </c>
      <c r="E62" s="36">
        <f t="shared" si="3"/>
        <v>419.07159999999999</v>
      </c>
      <c r="F62" s="36">
        <f t="shared" si="3"/>
        <v>419.07159999999999</v>
      </c>
      <c r="G62" s="37">
        <f t="shared" si="1"/>
        <v>402.30873599999995</v>
      </c>
      <c r="H62" s="28"/>
      <c r="I62" s="28"/>
      <c r="J62" s="28"/>
      <c r="K62" s="28"/>
      <c r="L62" s="28"/>
      <c r="M62" s="28"/>
      <c r="N62" s="28"/>
      <c r="O62" s="28"/>
      <c r="P62" s="28"/>
      <c r="Q62" s="28"/>
      <c r="R62" s="28"/>
      <c r="S62" s="28"/>
      <c r="T62" s="28"/>
      <c r="U62" s="28"/>
      <c r="V62" s="28"/>
      <c r="W62" s="28"/>
      <c r="X62" s="28"/>
      <c r="Y62" s="28"/>
      <c r="Z62" s="28"/>
    </row>
    <row r="63" spans="1:26" ht="12" customHeight="1" x14ac:dyDescent="0.35">
      <c r="A63" s="35" t="s">
        <v>121</v>
      </c>
      <c r="B63" s="36">
        <v>453.47989999999999</v>
      </c>
      <c r="C63" s="36">
        <v>457.36770000000001</v>
      </c>
      <c r="D63" s="36">
        <f t="shared" si="3"/>
        <v>457.36770000000001</v>
      </c>
      <c r="E63" s="36">
        <f t="shared" si="3"/>
        <v>457.36770000000001</v>
      </c>
      <c r="F63" s="36">
        <f t="shared" si="3"/>
        <v>457.36770000000001</v>
      </c>
      <c r="G63" s="37">
        <f t="shared" si="1"/>
        <v>439.072992</v>
      </c>
      <c r="H63" s="28"/>
      <c r="I63" s="28"/>
      <c r="J63" s="28"/>
      <c r="K63" s="28"/>
      <c r="L63" s="28"/>
      <c r="M63" s="28"/>
      <c r="N63" s="28"/>
      <c r="O63" s="28"/>
      <c r="P63" s="28"/>
      <c r="Q63" s="28"/>
      <c r="R63" s="28"/>
      <c r="S63" s="28"/>
      <c r="T63" s="28"/>
      <c r="U63" s="28"/>
      <c r="V63" s="28"/>
      <c r="W63" s="28"/>
      <c r="X63" s="28"/>
      <c r="Y63" s="28"/>
      <c r="Z63" s="28"/>
    </row>
    <row r="64" spans="1:26" ht="12" customHeight="1" x14ac:dyDescent="0.35">
      <c r="A64" s="33" t="s">
        <v>122</v>
      </c>
      <c r="B64" s="36"/>
      <c r="C64" s="36"/>
      <c r="D64" s="36"/>
      <c r="E64" s="36"/>
      <c r="F64" s="36"/>
      <c r="G64" s="37"/>
      <c r="H64" s="28"/>
      <c r="I64" s="28"/>
      <c r="J64" s="28"/>
      <c r="K64" s="28"/>
      <c r="L64" s="28"/>
      <c r="M64" s="28"/>
      <c r="N64" s="28"/>
      <c r="O64" s="28"/>
      <c r="P64" s="28"/>
      <c r="Q64" s="28"/>
      <c r="R64" s="28"/>
      <c r="S64" s="28"/>
      <c r="T64" s="28"/>
      <c r="U64" s="28"/>
      <c r="V64" s="28"/>
      <c r="W64" s="28"/>
      <c r="X64" s="28"/>
      <c r="Y64" s="28"/>
      <c r="Z64" s="28"/>
    </row>
    <row r="65" spans="1:26" ht="12" customHeight="1" x14ac:dyDescent="0.35">
      <c r="A65" s="38" t="s">
        <v>123</v>
      </c>
      <c r="B65" s="37">
        <v>604.45441844853099</v>
      </c>
      <c r="C65" s="37">
        <f t="shared" ref="C65:F78" si="4">B65</f>
        <v>604.45441844853099</v>
      </c>
      <c r="D65" s="37">
        <f t="shared" si="4"/>
        <v>604.45441844853099</v>
      </c>
      <c r="E65" s="37">
        <f t="shared" si="4"/>
        <v>604.45441844853099</v>
      </c>
      <c r="F65" s="37">
        <f t="shared" si="4"/>
        <v>604.45441844853099</v>
      </c>
      <c r="G65" s="37">
        <f t="shared" ref="G65:G78" si="5">F65*0.96</f>
        <v>580.27624171058972</v>
      </c>
      <c r="H65" s="28"/>
      <c r="I65" s="28"/>
      <c r="J65" s="28"/>
      <c r="K65" s="28"/>
      <c r="L65" s="28"/>
      <c r="M65" s="28"/>
      <c r="N65" s="28"/>
      <c r="O65" s="28"/>
      <c r="P65" s="28"/>
      <c r="Q65" s="28"/>
      <c r="R65" s="28"/>
      <c r="S65" s="28"/>
      <c r="T65" s="28"/>
      <c r="U65" s="28"/>
      <c r="V65" s="28"/>
      <c r="W65" s="28"/>
      <c r="X65" s="28"/>
      <c r="Y65" s="28"/>
      <c r="Z65" s="28"/>
    </row>
    <row r="66" spans="1:26" ht="12" customHeight="1" x14ac:dyDescent="0.35">
      <c r="A66" s="35" t="s">
        <v>124</v>
      </c>
      <c r="B66" s="37">
        <v>619.11817002476596</v>
      </c>
      <c r="C66" s="37">
        <f t="shared" si="4"/>
        <v>619.11817002476596</v>
      </c>
      <c r="D66" s="37">
        <f t="shared" si="4"/>
        <v>619.11817002476596</v>
      </c>
      <c r="E66" s="37">
        <f t="shared" si="4"/>
        <v>619.11817002476596</v>
      </c>
      <c r="F66" s="37">
        <f t="shared" si="4"/>
        <v>619.11817002476596</v>
      </c>
      <c r="G66" s="37">
        <f t="shared" si="5"/>
        <v>594.35344322377534</v>
      </c>
      <c r="H66" s="28"/>
      <c r="I66" s="28"/>
      <c r="J66" s="28"/>
      <c r="K66" s="28"/>
      <c r="L66" s="28"/>
      <c r="M66" s="28"/>
      <c r="N66" s="28"/>
      <c r="O66" s="28"/>
      <c r="P66" s="28"/>
      <c r="Q66" s="28"/>
      <c r="R66" s="28"/>
      <c r="S66" s="28"/>
      <c r="T66" s="28"/>
      <c r="U66" s="28"/>
      <c r="V66" s="28"/>
      <c r="W66" s="28"/>
      <c r="X66" s="28"/>
      <c r="Y66" s="28"/>
      <c r="Z66" s="28"/>
    </row>
    <row r="67" spans="1:26" ht="12" customHeight="1" x14ac:dyDescent="0.35">
      <c r="A67" s="35" t="s">
        <v>125</v>
      </c>
      <c r="B67" s="37">
        <v>432.10426286616303</v>
      </c>
      <c r="C67" s="37">
        <f t="shared" si="4"/>
        <v>432.10426286616303</v>
      </c>
      <c r="D67" s="37">
        <f t="shared" si="4"/>
        <v>432.10426286616303</v>
      </c>
      <c r="E67" s="37">
        <f t="shared" si="4"/>
        <v>432.10426286616303</v>
      </c>
      <c r="F67" s="37">
        <f t="shared" si="4"/>
        <v>432.10426286616303</v>
      </c>
      <c r="G67" s="37">
        <f t="shared" si="5"/>
        <v>414.82009235151651</v>
      </c>
      <c r="H67" s="28"/>
      <c r="I67" s="28"/>
      <c r="J67" s="28"/>
      <c r="K67" s="28"/>
      <c r="L67" s="28"/>
      <c r="M67" s="28"/>
      <c r="N67" s="28"/>
      <c r="O67" s="28"/>
      <c r="P67" s="28"/>
      <c r="Q67" s="28"/>
      <c r="R67" s="28"/>
      <c r="S67" s="28"/>
      <c r="T67" s="28"/>
      <c r="U67" s="28"/>
      <c r="V67" s="28"/>
      <c r="W67" s="28"/>
      <c r="X67" s="28"/>
      <c r="Y67" s="28"/>
      <c r="Z67" s="28"/>
    </row>
    <row r="68" spans="1:26" ht="12" customHeight="1" x14ac:dyDescent="0.35">
      <c r="A68" s="39" t="s">
        <v>126</v>
      </c>
      <c r="B68" s="37">
        <v>693.43691883408496</v>
      </c>
      <c r="C68" s="37">
        <f t="shared" si="4"/>
        <v>693.43691883408496</v>
      </c>
      <c r="D68" s="37">
        <f t="shared" si="4"/>
        <v>693.43691883408496</v>
      </c>
      <c r="E68" s="37">
        <f t="shared" si="4"/>
        <v>693.43691883408496</v>
      </c>
      <c r="F68" s="37">
        <f t="shared" si="4"/>
        <v>693.43691883408496</v>
      </c>
      <c r="G68" s="37">
        <f t="shared" si="5"/>
        <v>665.6994420807215</v>
      </c>
      <c r="H68" s="28"/>
      <c r="I68" s="28"/>
      <c r="J68" s="28"/>
      <c r="K68" s="28"/>
      <c r="L68" s="28"/>
      <c r="M68" s="28"/>
      <c r="N68" s="28"/>
      <c r="O68" s="28"/>
      <c r="P68" s="28"/>
      <c r="Q68" s="28"/>
      <c r="R68" s="28"/>
      <c r="S68" s="28"/>
      <c r="T68" s="28"/>
      <c r="U68" s="28"/>
      <c r="V68" s="28"/>
      <c r="W68" s="28"/>
      <c r="X68" s="28"/>
      <c r="Y68" s="28"/>
      <c r="Z68" s="28"/>
    </row>
    <row r="69" spans="1:26" ht="12" customHeight="1" x14ac:dyDescent="0.35">
      <c r="A69" s="35" t="s">
        <v>127</v>
      </c>
      <c r="B69" s="37">
        <v>277.615824949424</v>
      </c>
      <c r="C69" s="37">
        <f t="shared" si="4"/>
        <v>277.615824949424</v>
      </c>
      <c r="D69" s="37">
        <f t="shared" si="4"/>
        <v>277.615824949424</v>
      </c>
      <c r="E69" s="37">
        <f t="shared" si="4"/>
        <v>277.615824949424</v>
      </c>
      <c r="F69" s="37">
        <f t="shared" si="4"/>
        <v>277.615824949424</v>
      </c>
      <c r="G69" s="37">
        <f t="shared" si="5"/>
        <v>266.51119195144702</v>
      </c>
      <c r="H69" s="28"/>
      <c r="I69" s="28"/>
      <c r="J69" s="28"/>
      <c r="K69" s="28"/>
      <c r="L69" s="28"/>
      <c r="M69" s="28"/>
      <c r="N69" s="28"/>
      <c r="O69" s="28"/>
      <c r="P69" s="28"/>
      <c r="Q69" s="28"/>
      <c r="R69" s="28"/>
      <c r="S69" s="28"/>
      <c r="T69" s="28"/>
      <c r="U69" s="28"/>
      <c r="V69" s="28"/>
      <c r="W69" s="28"/>
      <c r="X69" s="28"/>
      <c r="Y69" s="28"/>
      <c r="Z69" s="28"/>
    </row>
    <row r="70" spans="1:26" ht="12" customHeight="1" x14ac:dyDescent="0.35">
      <c r="A70" s="39" t="s">
        <v>128</v>
      </c>
      <c r="B70" s="37">
        <v>538.02478431657198</v>
      </c>
      <c r="C70" s="37">
        <f t="shared" si="4"/>
        <v>538.02478431657198</v>
      </c>
      <c r="D70" s="37">
        <f t="shared" si="4"/>
        <v>538.02478431657198</v>
      </c>
      <c r="E70" s="37">
        <f t="shared" si="4"/>
        <v>538.02478431657198</v>
      </c>
      <c r="F70" s="37">
        <f t="shared" si="4"/>
        <v>538.02478431657198</v>
      </c>
      <c r="G70" s="37">
        <f t="shared" si="5"/>
        <v>516.50379294390905</v>
      </c>
      <c r="H70" s="28"/>
      <c r="I70" s="28"/>
      <c r="J70" s="28"/>
      <c r="K70" s="28"/>
      <c r="L70" s="28"/>
      <c r="M70" s="28"/>
      <c r="N70" s="28"/>
      <c r="O70" s="28"/>
      <c r="P70" s="28"/>
      <c r="Q70" s="28"/>
      <c r="R70" s="28"/>
      <c r="S70" s="28"/>
      <c r="T70" s="28"/>
      <c r="U70" s="28"/>
      <c r="V70" s="28"/>
      <c r="W70" s="28"/>
      <c r="X70" s="28"/>
      <c r="Y70" s="28"/>
      <c r="Z70" s="28"/>
    </row>
    <row r="71" spans="1:26" ht="12" customHeight="1" x14ac:dyDescent="0.35">
      <c r="A71" s="39" t="s">
        <v>129</v>
      </c>
      <c r="B71" s="37">
        <v>827.87718518384099</v>
      </c>
      <c r="C71" s="37">
        <f t="shared" si="4"/>
        <v>827.87718518384099</v>
      </c>
      <c r="D71" s="37">
        <f t="shared" si="4"/>
        <v>827.87718518384099</v>
      </c>
      <c r="E71" s="37">
        <f t="shared" si="4"/>
        <v>827.87718518384099</v>
      </c>
      <c r="F71" s="37">
        <f t="shared" si="4"/>
        <v>827.87718518384099</v>
      </c>
      <c r="G71" s="37">
        <f t="shared" si="5"/>
        <v>794.76209777648728</v>
      </c>
      <c r="H71" s="28"/>
      <c r="I71" s="28"/>
      <c r="J71" s="28"/>
      <c r="K71" s="28"/>
      <c r="L71" s="28"/>
      <c r="M71" s="28"/>
      <c r="N71" s="28"/>
      <c r="O71" s="28"/>
      <c r="P71" s="28"/>
      <c r="Q71" s="28"/>
      <c r="R71" s="28"/>
      <c r="S71" s="28"/>
      <c r="T71" s="28"/>
      <c r="U71" s="28"/>
      <c r="V71" s="28"/>
      <c r="W71" s="28"/>
      <c r="X71" s="28"/>
      <c r="Y71" s="28"/>
      <c r="Z71" s="28"/>
    </row>
    <row r="72" spans="1:26" ht="12" customHeight="1" x14ac:dyDescent="0.35">
      <c r="A72" s="35" t="s">
        <v>125</v>
      </c>
      <c r="B72" s="37">
        <v>432.10426286616303</v>
      </c>
      <c r="C72" s="37">
        <f t="shared" si="4"/>
        <v>432.10426286616303</v>
      </c>
      <c r="D72" s="37">
        <f t="shared" si="4"/>
        <v>432.10426286616303</v>
      </c>
      <c r="E72" s="37">
        <f t="shared" si="4"/>
        <v>432.10426286616303</v>
      </c>
      <c r="F72" s="37">
        <f t="shared" si="4"/>
        <v>432.10426286616303</v>
      </c>
      <c r="G72" s="37">
        <f t="shared" si="5"/>
        <v>414.82009235151651</v>
      </c>
      <c r="H72" s="28"/>
      <c r="I72" s="28"/>
      <c r="J72" s="28"/>
      <c r="K72" s="28"/>
      <c r="L72" s="28"/>
      <c r="M72" s="28"/>
      <c r="N72" s="28"/>
      <c r="O72" s="28"/>
      <c r="P72" s="28"/>
      <c r="Q72" s="28"/>
      <c r="R72" s="28"/>
      <c r="S72" s="28"/>
      <c r="T72" s="28"/>
      <c r="U72" s="28"/>
      <c r="V72" s="28"/>
      <c r="W72" s="28"/>
      <c r="X72" s="28"/>
      <c r="Y72" s="28"/>
      <c r="Z72" s="28"/>
    </row>
    <row r="73" spans="1:26" ht="12" customHeight="1" x14ac:dyDescent="0.35">
      <c r="A73" s="35" t="s">
        <v>130</v>
      </c>
      <c r="B73" s="37">
        <v>827.87718518384099</v>
      </c>
      <c r="C73" s="37">
        <f t="shared" si="4"/>
        <v>827.87718518384099</v>
      </c>
      <c r="D73" s="37">
        <f t="shared" si="4"/>
        <v>827.87718518384099</v>
      </c>
      <c r="E73" s="37">
        <f t="shared" si="4"/>
        <v>827.87718518384099</v>
      </c>
      <c r="F73" s="37">
        <f t="shared" si="4"/>
        <v>827.87718518384099</v>
      </c>
      <c r="G73" s="37">
        <f t="shared" si="5"/>
        <v>794.76209777648728</v>
      </c>
      <c r="H73" s="28"/>
      <c r="I73" s="28"/>
      <c r="J73" s="28"/>
      <c r="K73" s="28"/>
      <c r="L73" s="28"/>
      <c r="M73" s="28"/>
      <c r="N73" s="28"/>
      <c r="O73" s="28"/>
      <c r="P73" s="28"/>
      <c r="Q73" s="28"/>
      <c r="R73" s="28"/>
      <c r="S73" s="28"/>
      <c r="T73" s="28"/>
      <c r="U73" s="28"/>
      <c r="V73" s="28"/>
      <c r="W73" s="28"/>
      <c r="X73" s="28"/>
      <c r="Y73" s="28"/>
      <c r="Z73" s="28"/>
    </row>
    <row r="74" spans="1:26" ht="12" customHeight="1" x14ac:dyDescent="0.35">
      <c r="A74" s="35" t="s">
        <v>131</v>
      </c>
      <c r="B74" s="37">
        <v>299.91726465331902</v>
      </c>
      <c r="C74" s="37">
        <f t="shared" si="4"/>
        <v>299.91726465331902</v>
      </c>
      <c r="D74" s="37">
        <f t="shared" si="4"/>
        <v>299.91726465331902</v>
      </c>
      <c r="E74" s="37">
        <f t="shared" si="4"/>
        <v>299.91726465331902</v>
      </c>
      <c r="F74" s="37">
        <f t="shared" si="4"/>
        <v>299.91726465331902</v>
      </c>
      <c r="G74" s="37">
        <f t="shared" si="5"/>
        <v>287.92057406718624</v>
      </c>
      <c r="H74" s="28"/>
      <c r="I74" s="28"/>
      <c r="J74" s="28"/>
      <c r="K74" s="28"/>
      <c r="L74" s="28"/>
      <c r="M74" s="28"/>
      <c r="N74" s="28"/>
      <c r="O74" s="28"/>
      <c r="P74" s="28"/>
      <c r="Q74" s="28"/>
      <c r="R74" s="28"/>
      <c r="S74" s="28"/>
      <c r="T74" s="28"/>
      <c r="U74" s="28"/>
      <c r="V74" s="28"/>
      <c r="W74" s="28"/>
      <c r="X74" s="28"/>
      <c r="Y74" s="28"/>
      <c r="Z74" s="28"/>
    </row>
    <row r="75" spans="1:26" ht="12" customHeight="1" x14ac:dyDescent="0.35">
      <c r="A75" s="35" t="s">
        <v>124</v>
      </c>
      <c r="B75" s="37">
        <v>619.11817002476596</v>
      </c>
      <c r="C75" s="37">
        <f t="shared" si="4"/>
        <v>619.11817002476596</v>
      </c>
      <c r="D75" s="37">
        <f t="shared" si="4"/>
        <v>619.11817002476596</v>
      </c>
      <c r="E75" s="37">
        <f t="shared" si="4"/>
        <v>619.11817002476596</v>
      </c>
      <c r="F75" s="37">
        <f t="shared" si="4"/>
        <v>619.11817002476596</v>
      </c>
      <c r="G75" s="37">
        <f t="shared" si="5"/>
        <v>594.35344322377534</v>
      </c>
      <c r="H75" s="28"/>
      <c r="I75" s="28"/>
      <c r="J75" s="28"/>
      <c r="K75" s="28"/>
      <c r="L75" s="28"/>
      <c r="M75" s="28"/>
      <c r="N75" s="28"/>
      <c r="O75" s="28"/>
      <c r="P75" s="28"/>
      <c r="Q75" s="28"/>
      <c r="R75" s="28"/>
      <c r="S75" s="28"/>
      <c r="T75" s="28"/>
      <c r="U75" s="28"/>
      <c r="V75" s="28"/>
      <c r="W75" s="28"/>
      <c r="X75" s="28"/>
      <c r="Y75" s="28"/>
      <c r="Z75" s="28"/>
    </row>
    <row r="76" spans="1:26" ht="12" customHeight="1" x14ac:dyDescent="0.35">
      <c r="A76" s="35" t="s">
        <v>132</v>
      </c>
      <c r="B76" s="37">
        <v>333.07014360751498</v>
      </c>
      <c r="C76" s="37">
        <f t="shared" si="4"/>
        <v>333.07014360751498</v>
      </c>
      <c r="D76" s="37">
        <f t="shared" si="4"/>
        <v>333.07014360751498</v>
      </c>
      <c r="E76" s="37">
        <f t="shared" si="4"/>
        <v>333.07014360751498</v>
      </c>
      <c r="F76" s="37">
        <f t="shared" si="4"/>
        <v>333.07014360751498</v>
      </c>
      <c r="G76" s="37">
        <f t="shared" si="5"/>
        <v>319.74733786321434</v>
      </c>
      <c r="H76" s="28"/>
      <c r="I76" s="28"/>
      <c r="J76" s="28"/>
      <c r="K76" s="28"/>
      <c r="L76" s="28"/>
      <c r="M76" s="28"/>
      <c r="N76" s="28"/>
      <c r="O76" s="28"/>
      <c r="P76" s="28"/>
      <c r="Q76" s="28"/>
      <c r="R76" s="28"/>
      <c r="S76" s="28"/>
      <c r="T76" s="28"/>
      <c r="U76" s="28"/>
      <c r="V76" s="28"/>
      <c r="W76" s="28"/>
      <c r="X76" s="28"/>
      <c r="Y76" s="28"/>
      <c r="Z76" s="28"/>
    </row>
    <row r="77" spans="1:26" ht="12" customHeight="1" x14ac:dyDescent="0.35">
      <c r="A77" s="35" t="s">
        <v>130</v>
      </c>
      <c r="B77" s="37">
        <v>827.87718518384099</v>
      </c>
      <c r="C77" s="37">
        <f t="shared" si="4"/>
        <v>827.87718518384099</v>
      </c>
      <c r="D77" s="37">
        <f t="shared" si="4"/>
        <v>827.87718518384099</v>
      </c>
      <c r="E77" s="37">
        <f t="shared" si="4"/>
        <v>827.87718518384099</v>
      </c>
      <c r="F77" s="37">
        <f t="shared" si="4"/>
        <v>827.87718518384099</v>
      </c>
      <c r="G77" s="37">
        <f t="shared" si="5"/>
        <v>794.76209777648728</v>
      </c>
      <c r="H77" s="28"/>
      <c r="I77" s="28"/>
      <c r="J77" s="28"/>
      <c r="K77" s="28"/>
      <c r="L77" s="28"/>
      <c r="M77" s="28"/>
      <c r="N77" s="28"/>
      <c r="O77" s="28"/>
      <c r="P77" s="28"/>
      <c r="Q77" s="28"/>
      <c r="R77" s="28"/>
      <c r="S77" s="28"/>
      <c r="T77" s="28"/>
      <c r="U77" s="28"/>
      <c r="V77" s="28"/>
      <c r="W77" s="28"/>
      <c r="X77" s="28"/>
      <c r="Y77" s="28"/>
      <c r="Z77" s="28"/>
    </row>
    <row r="78" spans="1:26" ht="12" customHeight="1" x14ac:dyDescent="0.35">
      <c r="A78" s="35" t="s">
        <v>130</v>
      </c>
      <c r="B78" s="37">
        <v>827.87718518384099</v>
      </c>
      <c r="C78" s="37">
        <f t="shared" si="4"/>
        <v>827.87718518384099</v>
      </c>
      <c r="D78" s="37">
        <f t="shared" si="4"/>
        <v>827.87718518384099</v>
      </c>
      <c r="E78" s="37">
        <f t="shared" si="4"/>
        <v>827.87718518384099</v>
      </c>
      <c r="F78" s="37">
        <f t="shared" si="4"/>
        <v>827.87718518384099</v>
      </c>
      <c r="G78" s="37">
        <f t="shared" si="5"/>
        <v>794.76209777648728</v>
      </c>
      <c r="H78" s="28"/>
      <c r="I78" s="28"/>
      <c r="J78" s="28"/>
      <c r="K78" s="28"/>
      <c r="L78" s="28"/>
      <c r="M78" s="28"/>
      <c r="N78" s="28"/>
      <c r="O78" s="28"/>
      <c r="P78" s="28"/>
      <c r="Q78" s="28"/>
      <c r="R78" s="28"/>
      <c r="S78" s="28"/>
      <c r="T78" s="28"/>
      <c r="U78" s="28"/>
      <c r="V78" s="28"/>
      <c r="W78" s="28"/>
      <c r="X78" s="28"/>
      <c r="Y78" s="28"/>
      <c r="Z78" s="28"/>
    </row>
    <row r="79" spans="1:26" ht="12" customHeight="1" x14ac:dyDescent="0.35">
      <c r="A79" s="39" t="s">
        <v>133</v>
      </c>
      <c r="B79" s="40"/>
      <c r="C79" s="41"/>
      <c r="D79" s="40"/>
      <c r="E79" s="42"/>
      <c r="F79" s="41"/>
      <c r="G79" s="37">
        <v>461.03100000000001</v>
      </c>
      <c r="H79" s="28"/>
      <c r="I79" s="28"/>
      <c r="J79" s="28"/>
      <c r="K79" s="28"/>
      <c r="L79" s="28"/>
      <c r="M79" s="28"/>
      <c r="N79" s="28"/>
      <c r="O79" s="28"/>
      <c r="P79" s="28"/>
      <c r="Q79" s="28"/>
      <c r="R79" s="28"/>
      <c r="S79" s="28"/>
      <c r="T79" s="28"/>
      <c r="U79" s="28"/>
      <c r="V79" s="28"/>
      <c r="W79" s="28"/>
      <c r="X79" s="28"/>
      <c r="Y79" s="28"/>
      <c r="Z79" s="28"/>
    </row>
    <row r="80" spans="1:26" ht="12" customHeight="1" x14ac:dyDescent="0.35">
      <c r="A80" s="39" t="s">
        <v>134</v>
      </c>
      <c r="B80" s="40"/>
      <c r="C80" s="41"/>
      <c r="D80" s="40"/>
      <c r="E80" s="42"/>
      <c r="F80" s="41"/>
      <c r="G80" s="37">
        <v>475.81799999999998</v>
      </c>
      <c r="H80" s="28"/>
      <c r="I80" s="28"/>
      <c r="J80" s="28"/>
      <c r="K80" s="28"/>
      <c r="L80" s="28"/>
      <c r="M80" s="28"/>
      <c r="N80" s="28"/>
      <c r="O80" s="28"/>
      <c r="P80" s="28"/>
      <c r="Q80" s="28"/>
      <c r="R80" s="28"/>
      <c r="S80" s="28"/>
      <c r="T80" s="28"/>
      <c r="U80" s="28"/>
      <c r="V80" s="28"/>
      <c r="W80" s="28"/>
      <c r="X80" s="28"/>
      <c r="Y80" s="28"/>
      <c r="Z80" s="28"/>
    </row>
    <row r="81" spans="1:26" ht="12" customHeight="1" x14ac:dyDescent="0.35">
      <c r="A81" s="35" t="s">
        <v>135</v>
      </c>
      <c r="B81" s="36">
        <v>252.8424</v>
      </c>
      <c r="C81" s="36">
        <v>80.988399999999999</v>
      </c>
      <c r="D81" s="36">
        <f t="shared" ref="D81:F83" si="6">C81</f>
        <v>80.988399999999999</v>
      </c>
      <c r="E81" s="36">
        <f t="shared" si="6"/>
        <v>80.988399999999999</v>
      </c>
      <c r="F81" s="36">
        <f t="shared" si="6"/>
        <v>80.988399999999999</v>
      </c>
      <c r="G81" s="37">
        <f t="shared" ref="G81:G83" si="7">F81*0.96</f>
        <v>77.748863999999998</v>
      </c>
      <c r="H81" s="28"/>
      <c r="I81" s="28"/>
      <c r="J81" s="28"/>
      <c r="K81" s="28"/>
      <c r="L81" s="28"/>
      <c r="M81" s="28"/>
      <c r="N81" s="28"/>
      <c r="O81" s="28"/>
      <c r="P81" s="28"/>
      <c r="Q81" s="28"/>
      <c r="R81" s="28"/>
      <c r="S81" s="28"/>
      <c r="T81" s="28"/>
      <c r="U81" s="28"/>
      <c r="V81" s="28"/>
      <c r="W81" s="28"/>
      <c r="X81" s="28"/>
      <c r="Y81" s="28"/>
      <c r="Z81" s="28"/>
    </row>
    <row r="82" spans="1:26" ht="12" customHeight="1" x14ac:dyDescent="0.35">
      <c r="A82" s="35" t="s">
        <v>136</v>
      </c>
      <c r="B82" s="36">
        <v>205.01840000000001</v>
      </c>
      <c r="C82" s="36">
        <v>264.37650000000002</v>
      </c>
      <c r="D82" s="36">
        <f t="shared" si="6"/>
        <v>264.37650000000002</v>
      </c>
      <c r="E82" s="36">
        <f t="shared" si="6"/>
        <v>264.37650000000002</v>
      </c>
      <c r="F82" s="36">
        <f t="shared" si="6"/>
        <v>264.37650000000002</v>
      </c>
      <c r="G82" s="37">
        <f t="shared" si="7"/>
        <v>253.80144000000001</v>
      </c>
      <c r="H82" s="28"/>
      <c r="I82" s="28"/>
      <c r="J82" s="28"/>
      <c r="K82" s="28"/>
      <c r="L82" s="28"/>
      <c r="M82" s="28"/>
      <c r="N82" s="28"/>
      <c r="O82" s="28"/>
      <c r="P82" s="28"/>
      <c r="Q82" s="28"/>
      <c r="R82" s="28"/>
      <c r="S82" s="28"/>
      <c r="T82" s="28"/>
      <c r="U82" s="28"/>
      <c r="V82" s="28"/>
      <c r="W82" s="28"/>
      <c r="X82" s="28"/>
      <c r="Y82" s="28"/>
      <c r="Z82" s="28"/>
    </row>
    <row r="83" spans="1:26" ht="12" customHeight="1" x14ac:dyDescent="0.35">
      <c r="A83" s="35" t="s">
        <v>137</v>
      </c>
      <c r="B83" s="36">
        <v>384.1773</v>
      </c>
      <c r="C83" s="36">
        <v>431.61689999999999</v>
      </c>
      <c r="D83" s="36">
        <f t="shared" si="6"/>
        <v>431.61689999999999</v>
      </c>
      <c r="E83" s="36">
        <f t="shared" si="6"/>
        <v>431.61689999999999</v>
      </c>
      <c r="F83" s="36">
        <f t="shared" si="6"/>
        <v>431.61689999999999</v>
      </c>
      <c r="G83" s="37">
        <f t="shared" si="7"/>
        <v>414.35222399999998</v>
      </c>
      <c r="H83" s="28"/>
      <c r="I83" s="28"/>
      <c r="J83" s="28"/>
      <c r="K83" s="28"/>
      <c r="L83" s="28"/>
      <c r="M83" s="28"/>
      <c r="N83" s="28"/>
      <c r="O83" s="28"/>
      <c r="P83" s="28"/>
      <c r="Q83" s="28"/>
      <c r="R83" s="28"/>
      <c r="S83" s="28"/>
      <c r="T83" s="28"/>
      <c r="U83" s="28"/>
      <c r="V83" s="28"/>
      <c r="W83" s="28"/>
      <c r="X83" s="28"/>
      <c r="Y83" s="28"/>
      <c r="Z83" s="28"/>
    </row>
    <row r="84" spans="1:26" ht="12" customHeight="1" x14ac:dyDescent="0.3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2" customHeight="1" x14ac:dyDescent="0.3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2" customHeight="1" x14ac:dyDescent="0.35">
      <c r="A86" s="43" t="s">
        <v>138</v>
      </c>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9.75" customHeight="1" x14ac:dyDescent="0.3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9.75" customHeight="1" x14ac:dyDescent="0.3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9.75" customHeight="1" x14ac:dyDescent="0.3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9.75" customHeight="1" x14ac:dyDescent="0.3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9.75" customHeight="1" x14ac:dyDescent="0.3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9.75" customHeight="1" x14ac:dyDescent="0.3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9.75" customHeight="1" x14ac:dyDescent="0.3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9.75" customHeight="1" x14ac:dyDescent="0.3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9.75" customHeight="1" x14ac:dyDescent="0.3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9.75" customHeight="1" x14ac:dyDescent="0.3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9.75" customHeight="1" x14ac:dyDescent="0.3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9.75" customHeight="1" x14ac:dyDescent="0.3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9.75" customHeight="1" x14ac:dyDescent="0.3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9.75" customHeight="1" x14ac:dyDescent="0.3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9.75" customHeight="1" x14ac:dyDescent="0.3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9.75" customHeight="1" x14ac:dyDescent="0.3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9.75" customHeight="1" x14ac:dyDescent="0.35">
      <c r="A103" s="28"/>
      <c r="B103" s="28"/>
      <c r="C103" s="28"/>
      <c r="D103" s="28"/>
      <c r="E103" s="28"/>
      <c r="F103" s="28"/>
      <c r="G103" s="28"/>
      <c r="H103" s="43"/>
      <c r="I103" s="28"/>
      <c r="J103" s="28"/>
      <c r="K103" s="28"/>
      <c r="L103" s="28"/>
      <c r="M103" s="28"/>
      <c r="N103" s="28"/>
      <c r="O103" s="28"/>
      <c r="P103" s="28"/>
      <c r="Q103" s="28"/>
      <c r="R103" s="28"/>
      <c r="S103" s="28"/>
      <c r="T103" s="28"/>
      <c r="U103" s="28"/>
      <c r="V103" s="28"/>
      <c r="W103" s="28"/>
      <c r="X103" s="28"/>
      <c r="Y103" s="28"/>
      <c r="Z103" s="28"/>
    </row>
    <row r="104" spans="1:26" ht="9.75" customHeight="1" x14ac:dyDescent="0.35"/>
    <row r="105" spans="1:26" ht="9.75" customHeight="1" x14ac:dyDescent="0.35"/>
    <row r="106" spans="1:26" ht="9.75" customHeight="1" x14ac:dyDescent="0.35"/>
    <row r="107" spans="1:26" ht="9.75" customHeight="1" x14ac:dyDescent="0.35"/>
    <row r="108" spans="1:26" ht="9.75" customHeight="1" x14ac:dyDescent="0.35"/>
    <row r="109" spans="1:26" ht="9.75" customHeight="1" x14ac:dyDescent="0.35"/>
    <row r="110" spans="1:26" ht="9.75" customHeight="1" x14ac:dyDescent="0.35"/>
    <row r="111" spans="1:26" ht="9.75" customHeight="1" x14ac:dyDescent="0.35"/>
    <row r="112" spans="1:26" ht="9.75" customHeight="1" x14ac:dyDescent="0.35"/>
    <row r="113" customFormat="1" ht="9.75" customHeight="1" x14ac:dyDescent="0.35"/>
    <row r="114" customFormat="1" ht="9.75" customHeight="1" x14ac:dyDescent="0.35"/>
    <row r="115" customFormat="1" ht="9.75" customHeight="1" x14ac:dyDescent="0.35"/>
    <row r="116" customFormat="1" ht="9.75" customHeight="1" x14ac:dyDescent="0.35"/>
    <row r="117" customFormat="1" ht="9.75" customHeight="1" x14ac:dyDescent="0.35"/>
    <row r="118" customFormat="1" ht="9.75" customHeight="1" x14ac:dyDescent="0.35"/>
    <row r="119" customFormat="1" ht="9.75" customHeight="1" x14ac:dyDescent="0.35"/>
    <row r="120" customFormat="1" ht="9.75" customHeight="1" x14ac:dyDescent="0.35"/>
    <row r="121" customFormat="1" ht="9.75" customHeight="1" x14ac:dyDescent="0.35"/>
    <row r="122" customFormat="1" ht="9.75" customHeight="1" x14ac:dyDescent="0.35"/>
    <row r="123" customFormat="1" ht="9.75" customHeight="1" x14ac:dyDescent="0.35"/>
    <row r="124" customFormat="1" ht="9.75" customHeight="1" x14ac:dyDescent="0.35"/>
    <row r="125" customFormat="1" ht="9.75" customHeight="1" x14ac:dyDescent="0.35"/>
    <row r="126" customFormat="1" ht="9.75" customHeight="1" x14ac:dyDescent="0.35"/>
    <row r="127" customFormat="1" ht="9.75" customHeight="1" x14ac:dyDescent="0.35"/>
    <row r="128" customFormat="1" ht="9.75" customHeight="1" x14ac:dyDescent="0.35"/>
    <row r="129" customFormat="1" ht="9.75" customHeight="1" x14ac:dyDescent="0.35"/>
    <row r="130" customFormat="1" ht="9.75" customHeight="1" x14ac:dyDescent="0.35"/>
    <row r="131" customFormat="1" ht="9.75" customHeight="1" x14ac:dyDescent="0.35"/>
    <row r="132" customFormat="1" ht="9.75" customHeight="1" x14ac:dyDescent="0.35"/>
    <row r="133" customFormat="1" ht="9.75" customHeight="1" x14ac:dyDescent="0.35"/>
    <row r="134" customFormat="1" ht="9.75" customHeight="1" x14ac:dyDescent="0.35"/>
    <row r="135" customFormat="1" ht="9.75" customHeight="1" x14ac:dyDescent="0.35"/>
    <row r="136" customFormat="1" ht="9.75" customHeight="1" x14ac:dyDescent="0.35"/>
    <row r="137" customFormat="1" ht="9.75" customHeight="1" x14ac:dyDescent="0.35"/>
    <row r="138" customFormat="1" ht="9.75" customHeight="1" x14ac:dyDescent="0.35"/>
    <row r="139" customFormat="1" ht="9.75" customHeight="1" x14ac:dyDescent="0.35"/>
    <row r="140" customFormat="1" ht="9.75" customHeight="1" x14ac:dyDescent="0.35"/>
    <row r="141" customFormat="1" ht="9.75" customHeight="1" x14ac:dyDescent="0.35"/>
    <row r="142" customFormat="1" ht="9.75" customHeight="1" x14ac:dyDescent="0.35"/>
    <row r="143" customFormat="1" ht="9.75" customHeight="1" x14ac:dyDescent="0.35"/>
    <row r="144" customFormat="1" ht="9.75" customHeight="1" x14ac:dyDescent="0.35"/>
    <row r="145" customFormat="1" ht="9.75" customHeight="1" x14ac:dyDescent="0.35"/>
    <row r="146" customFormat="1" ht="9.75" customHeight="1" x14ac:dyDescent="0.35"/>
    <row r="147" customFormat="1" ht="9.75" customHeight="1" x14ac:dyDescent="0.35"/>
    <row r="148" customFormat="1" ht="9.75" customHeight="1" x14ac:dyDescent="0.35"/>
    <row r="149" customFormat="1" ht="9.75" customHeight="1" x14ac:dyDescent="0.35"/>
    <row r="150" customFormat="1" ht="9.75" customHeight="1" x14ac:dyDescent="0.35"/>
    <row r="151" customFormat="1" ht="9.75" customHeight="1" x14ac:dyDescent="0.35"/>
    <row r="152" customFormat="1" ht="9.75" customHeight="1" x14ac:dyDescent="0.35"/>
    <row r="153" customFormat="1" ht="9.75" customHeight="1" x14ac:dyDescent="0.35"/>
    <row r="154" customFormat="1" ht="9.75" customHeight="1" x14ac:dyDescent="0.35"/>
    <row r="155" customFormat="1" ht="9.75" customHeight="1" x14ac:dyDescent="0.35"/>
    <row r="156" customFormat="1" ht="9.75" customHeight="1" x14ac:dyDescent="0.35"/>
    <row r="157" customFormat="1" ht="9.75" customHeight="1" x14ac:dyDescent="0.35"/>
    <row r="158" customFormat="1" ht="9.75" customHeight="1" x14ac:dyDescent="0.35"/>
    <row r="159" customFormat="1" ht="9.75" customHeight="1" x14ac:dyDescent="0.35"/>
    <row r="160" customFormat="1" ht="9.75" customHeight="1" x14ac:dyDescent="0.35"/>
    <row r="161" customFormat="1" ht="9.75" customHeight="1" x14ac:dyDescent="0.35"/>
    <row r="162" customFormat="1" ht="9.75" customHeight="1" x14ac:dyDescent="0.35"/>
    <row r="163" customFormat="1" ht="9.75" customHeight="1" x14ac:dyDescent="0.35"/>
    <row r="164" customFormat="1" ht="9.75" customHeight="1" x14ac:dyDescent="0.35"/>
    <row r="165" customFormat="1" ht="9.75" customHeight="1" x14ac:dyDescent="0.35"/>
    <row r="166" customFormat="1" ht="9.75" customHeight="1" x14ac:dyDescent="0.35"/>
    <row r="167" customFormat="1" ht="9.75" customHeight="1" x14ac:dyDescent="0.35"/>
    <row r="168" customFormat="1" ht="9.75" customHeight="1" x14ac:dyDescent="0.35"/>
    <row r="169" customFormat="1" ht="9.75" customHeight="1" x14ac:dyDescent="0.35"/>
    <row r="170" customFormat="1" ht="9.75" customHeight="1" x14ac:dyDescent="0.35"/>
    <row r="171" customFormat="1" ht="9.75" customHeight="1" x14ac:dyDescent="0.35"/>
    <row r="172" customFormat="1" ht="9.75" customHeight="1" x14ac:dyDescent="0.35"/>
    <row r="173" customFormat="1" ht="9.75" customHeight="1" x14ac:dyDescent="0.35"/>
    <row r="174" customFormat="1" ht="9.75" customHeight="1" x14ac:dyDescent="0.35"/>
    <row r="175" customFormat="1" ht="9.75" customHeight="1" x14ac:dyDescent="0.35"/>
    <row r="176" customFormat="1" ht="9.75" customHeight="1" x14ac:dyDescent="0.35"/>
    <row r="177" customFormat="1" ht="9.75" customHeight="1" x14ac:dyDescent="0.35"/>
    <row r="178" customFormat="1" ht="9.75" customHeight="1" x14ac:dyDescent="0.35"/>
    <row r="179" customFormat="1" ht="9.75" customHeight="1" x14ac:dyDescent="0.35"/>
    <row r="180" customFormat="1" ht="9.75" customHeight="1" x14ac:dyDescent="0.35"/>
    <row r="181" customFormat="1" ht="9.75" customHeight="1" x14ac:dyDescent="0.35"/>
    <row r="182" customFormat="1" ht="9.75" customHeight="1" x14ac:dyDescent="0.35"/>
    <row r="183" customFormat="1" ht="9.75" customHeight="1" x14ac:dyDescent="0.35"/>
    <row r="184" customFormat="1" ht="9.75" customHeight="1" x14ac:dyDescent="0.35"/>
    <row r="185" customFormat="1" ht="9.75" customHeight="1" x14ac:dyDescent="0.35"/>
    <row r="186" customFormat="1" ht="9.75" customHeight="1" x14ac:dyDescent="0.35"/>
    <row r="187" customFormat="1" ht="9.75" customHeight="1" x14ac:dyDescent="0.35"/>
    <row r="188" customFormat="1" ht="9.75" customHeight="1" x14ac:dyDescent="0.35"/>
    <row r="189" customFormat="1" ht="9.75" customHeight="1" x14ac:dyDescent="0.35"/>
    <row r="190" customFormat="1" ht="9.75" customHeight="1" x14ac:dyDescent="0.35"/>
    <row r="191" customFormat="1" ht="9.75" customHeight="1" x14ac:dyDescent="0.35"/>
    <row r="192" customFormat="1" ht="9.75" customHeight="1" x14ac:dyDescent="0.35"/>
    <row r="193" customFormat="1" ht="9.75" customHeight="1" x14ac:dyDescent="0.35"/>
    <row r="194" customFormat="1" ht="9.75" customHeight="1" x14ac:dyDescent="0.35"/>
    <row r="195" customFormat="1" ht="9.75" customHeight="1" x14ac:dyDescent="0.35"/>
    <row r="196" customFormat="1" ht="9.75" customHeight="1" x14ac:dyDescent="0.35"/>
    <row r="197" customFormat="1" ht="9.75" customHeight="1" x14ac:dyDescent="0.35"/>
    <row r="198" customFormat="1" ht="9.75" customHeight="1" x14ac:dyDescent="0.35"/>
    <row r="199" customFormat="1" ht="9.75" customHeight="1" x14ac:dyDescent="0.35"/>
    <row r="200" customFormat="1" ht="9.75" customHeight="1" x14ac:dyDescent="0.35"/>
    <row r="201" customFormat="1" ht="9.75" customHeight="1" x14ac:dyDescent="0.35"/>
    <row r="202" customFormat="1" ht="9.75" customHeight="1" x14ac:dyDescent="0.35"/>
    <row r="203" customFormat="1" ht="9.75" customHeight="1" x14ac:dyDescent="0.35"/>
    <row r="204" customFormat="1" ht="9.75" customHeight="1" x14ac:dyDescent="0.35"/>
    <row r="205" customFormat="1" ht="9.75" customHeight="1" x14ac:dyDescent="0.35"/>
    <row r="206" customFormat="1" ht="9.75" customHeight="1" x14ac:dyDescent="0.35"/>
    <row r="207" customFormat="1" ht="9.75" customHeight="1" x14ac:dyDescent="0.35"/>
    <row r="208" customFormat="1" ht="9.75" customHeight="1" x14ac:dyDescent="0.35"/>
    <row r="209" customFormat="1" ht="9.75" customHeight="1" x14ac:dyDescent="0.35"/>
    <row r="210" customFormat="1" ht="9.75" customHeight="1" x14ac:dyDescent="0.35"/>
    <row r="211" customFormat="1" ht="9.75" customHeight="1" x14ac:dyDescent="0.35"/>
    <row r="212" customFormat="1" ht="9.75" customHeight="1" x14ac:dyDescent="0.35"/>
    <row r="213" customFormat="1" ht="9.75" customHeight="1" x14ac:dyDescent="0.35"/>
    <row r="214" customFormat="1" ht="9.75" customHeight="1" x14ac:dyDescent="0.35"/>
    <row r="215" customFormat="1" ht="9.75" customHeight="1" x14ac:dyDescent="0.35"/>
    <row r="216" customFormat="1" ht="9.75" customHeight="1" x14ac:dyDescent="0.35"/>
    <row r="217" customFormat="1" ht="9.75" customHeight="1" x14ac:dyDescent="0.35"/>
    <row r="218" customFormat="1" ht="9.75" customHeight="1" x14ac:dyDescent="0.35"/>
    <row r="219" customFormat="1" ht="9.75" customHeight="1" x14ac:dyDescent="0.35"/>
    <row r="220" customFormat="1" ht="9.75" customHeight="1" x14ac:dyDescent="0.35"/>
    <row r="221" customFormat="1" ht="9.75" customHeight="1" x14ac:dyDescent="0.35"/>
    <row r="222" customFormat="1" ht="9.75" customHeight="1" x14ac:dyDescent="0.35"/>
    <row r="223" customFormat="1" ht="9.75" customHeight="1" x14ac:dyDescent="0.35"/>
    <row r="224" customFormat="1" ht="9.75" customHeight="1" x14ac:dyDescent="0.35"/>
    <row r="225" customFormat="1" ht="9.75" customHeight="1" x14ac:dyDescent="0.35"/>
    <row r="226" customFormat="1" ht="9.75" customHeight="1" x14ac:dyDescent="0.35"/>
    <row r="227" customFormat="1" ht="9.75" customHeight="1" x14ac:dyDescent="0.35"/>
    <row r="228" customFormat="1" ht="9.75" customHeight="1" x14ac:dyDescent="0.35"/>
    <row r="229" customFormat="1" ht="9.75" customHeight="1" x14ac:dyDescent="0.35"/>
    <row r="230" customFormat="1" ht="9.75" customHeight="1" x14ac:dyDescent="0.35"/>
    <row r="231" customFormat="1" ht="9.75" customHeight="1" x14ac:dyDescent="0.35"/>
    <row r="232" customFormat="1" ht="9.75" customHeight="1" x14ac:dyDescent="0.35"/>
    <row r="233" customFormat="1" ht="9.75" customHeight="1" x14ac:dyDescent="0.35"/>
    <row r="234" customFormat="1" ht="9.75" customHeight="1" x14ac:dyDescent="0.35"/>
    <row r="235" customFormat="1" ht="9.75" customHeight="1" x14ac:dyDescent="0.35"/>
    <row r="236" customFormat="1" ht="9.75" customHeight="1" x14ac:dyDescent="0.35"/>
    <row r="237" customFormat="1" ht="9.75" customHeight="1" x14ac:dyDescent="0.35"/>
    <row r="238" customFormat="1" ht="9.75" customHeight="1" x14ac:dyDescent="0.35"/>
    <row r="239" customFormat="1" ht="9.75" customHeight="1" x14ac:dyDescent="0.35"/>
    <row r="240" customFormat="1" ht="9.75" customHeight="1" x14ac:dyDescent="0.35"/>
    <row r="241" customFormat="1" ht="9.75" customHeight="1" x14ac:dyDescent="0.35"/>
    <row r="242" customFormat="1" ht="9.75" customHeight="1" x14ac:dyDescent="0.35"/>
    <row r="243" customFormat="1" ht="9.75" customHeight="1" x14ac:dyDescent="0.35"/>
    <row r="244" customFormat="1" ht="9.75" customHeight="1" x14ac:dyDescent="0.35"/>
    <row r="245" customFormat="1" ht="9.75" customHeight="1" x14ac:dyDescent="0.35"/>
    <row r="246" customFormat="1" ht="9.75" customHeight="1" x14ac:dyDescent="0.35"/>
    <row r="247" customFormat="1" ht="9.75" customHeight="1" x14ac:dyDescent="0.35"/>
    <row r="248" customFormat="1" ht="9.75" customHeight="1" x14ac:dyDescent="0.35"/>
    <row r="249" customFormat="1" ht="9.75" customHeight="1" x14ac:dyDescent="0.35"/>
    <row r="250" customFormat="1" ht="9.75" customHeight="1" x14ac:dyDescent="0.35"/>
    <row r="251" customFormat="1" ht="9.75" customHeight="1" x14ac:dyDescent="0.35"/>
    <row r="252" customFormat="1" ht="9.75" customHeight="1" x14ac:dyDescent="0.35"/>
    <row r="253" customFormat="1" ht="9.75" customHeight="1" x14ac:dyDescent="0.35"/>
    <row r="254" customFormat="1" ht="9.75" customHeight="1" x14ac:dyDescent="0.35"/>
    <row r="255" customFormat="1" ht="9.75" customHeight="1" x14ac:dyDescent="0.35"/>
    <row r="256" customFormat="1" ht="9.75" customHeight="1" x14ac:dyDescent="0.35"/>
    <row r="257" customFormat="1" ht="9.75" customHeight="1" x14ac:dyDescent="0.35"/>
    <row r="258" customFormat="1" ht="9.75" customHeight="1" x14ac:dyDescent="0.35"/>
    <row r="259" customFormat="1" ht="9.75" customHeight="1" x14ac:dyDescent="0.35"/>
    <row r="260" customFormat="1" ht="9.75" customHeight="1" x14ac:dyDescent="0.35"/>
    <row r="261" customFormat="1" ht="9.75" customHeight="1" x14ac:dyDescent="0.35"/>
    <row r="262" customFormat="1" ht="9.75" customHeight="1" x14ac:dyDescent="0.35"/>
    <row r="263" customFormat="1" ht="9.75" customHeight="1" x14ac:dyDescent="0.35"/>
    <row r="264" customFormat="1" ht="9.75" customHeight="1" x14ac:dyDescent="0.35"/>
    <row r="265" customFormat="1" ht="9.75" customHeight="1" x14ac:dyDescent="0.35"/>
    <row r="266" customFormat="1" ht="9.75" customHeight="1" x14ac:dyDescent="0.35"/>
    <row r="267" customFormat="1" ht="9.75" customHeight="1" x14ac:dyDescent="0.35"/>
    <row r="268" customFormat="1" ht="9.75" customHeight="1" x14ac:dyDescent="0.35"/>
    <row r="269" customFormat="1" ht="9.75" customHeight="1" x14ac:dyDescent="0.35"/>
    <row r="270" customFormat="1" ht="9.75" customHeight="1" x14ac:dyDescent="0.35"/>
    <row r="271" customFormat="1" ht="9.75" customHeight="1" x14ac:dyDescent="0.35"/>
    <row r="272" customFormat="1" ht="9.75" customHeight="1" x14ac:dyDescent="0.35"/>
    <row r="273" customFormat="1" ht="9.75" customHeight="1" x14ac:dyDescent="0.35"/>
    <row r="274" customFormat="1" ht="9.75" customHeight="1" x14ac:dyDescent="0.35"/>
    <row r="275" customFormat="1" ht="9.75" customHeight="1" x14ac:dyDescent="0.35"/>
    <row r="276" customFormat="1" ht="9.75" customHeight="1" x14ac:dyDescent="0.35"/>
    <row r="277" customFormat="1" ht="9.75" customHeight="1" x14ac:dyDescent="0.35"/>
    <row r="278" customFormat="1" ht="9.75" customHeight="1" x14ac:dyDescent="0.35"/>
    <row r="279" customFormat="1" ht="9.75" customHeight="1" x14ac:dyDescent="0.35"/>
    <row r="280" customFormat="1" ht="9.75" customHeight="1" x14ac:dyDescent="0.35"/>
    <row r="281" customFormat="1" ht="9.75" customHeight="1" x14ac:dyDescent="0.35"/>
    <row r="282" customFormat="1" ht="9.75" customHeight="1" x14ac:dyDescent="0.35"/>
    <row r="283" customFormat="1" ht="9.75" customHeight="1" x14ac:dyDescent="0.35"/>
    <row r="284" customFormat="1" ht="9.75" customHeight="1" x14ac:dyDescent="0.35"/>
    <row r="285" customFormat="1" ht="9.75" customHeight="1" x14ac:dyDescent="0.35"/>
    <row r="286" customFormat="1" ht="9.75" customHeight="1" x14ac:dyDescent="0.35"/>
    <row r="287" customFormat="1" ht="9.75" customHeight="1" x14ac:dyDescent="0.35"/>
    <row r="288" customFormat="1" ht="9.75" customHeight="1" x14ac:dyDescent="0.35"/>
    <row r="289" customFormat="1" ht="9.75" customHeight="1" x14ac:dyDescent="0.35"/>
    <row r="290" customFormat="1" ht="9.75" customHeight="1" x14ac:dyDescent="0.35"/>
    <row r="291" customFormat="1" ht="9.75" customHeight="1" x14ac:dyDescent="0.35"/>
    <row r="292" customFormat="1" ht="9.75" customHeight="1" x14ac:dyDescent="0.35"/>
    <row r="293" customFormat="1" ht="9.75" customHeight="1" x14ac:dyDescent="0.35"/>
    <row r="294" customFormat="1" ht="9.75" customHeight="1" x14ac:dyDescent="0.35"/>
    <row r="295" customFormat="1" ht="9.75" customHeight="1" x14ac:dyDescent="0.35"/>
    <row r="296" customFormat="1" ht="9.75" customHeight="1" x14ac:dyDescent="0.35"/>
    <row r="297" customFormat="1" ht="9.75" customHeight="1" x14ac:dyDescent="0.35"/>
    <row r="298" customFormat="1" ht="9.75" customHeight="1" x14ac:dyDescent="0.35"/>
    <row r="299" customFormat="1" ht="9.75" customHeight="1" x14ac:dyDescent="0.35"/>
    <row r="300" customFormat="1" ht="9.75" customHeight="1" x14ac:dyDescent="0.35"/>
    <row r="301" customFormat="1" ht="9.75" customHeight="1" x14ac:dyDescent="0.35"/>
    <row r="302" customFormat="1" ht="9.75" customHeight="1" x14ac:dyDescent="0.35"/>
    <row r="303" customFormat="1" ht="9.75" customHeight="1" x14ac:dyDescent="0.35"/>
    <row r="304" customFormat="1" ht="15.75" customHeight="1" x14ac:dyDescent="0.35"/>
    <row r="305" customFormat="1" ht="15.75" customHeight="1" x14ac:dyDescent="0.35"/>
    <row r="306" customFormat="1" ht="15.75" customHeight="1" x14ac:dyDescent="0.35"/>
    <row r="307" customFormat="1" ht="15.75" customHeight="1" x14ac:dyDescent="0.35"/>
    <row r="308" customFormat="1" ht="15.75" customHeight="1" x14ac:dyDescent="0.35"/>
    <row r="309" customFormat="1" ht="15.75" customHeight="1" x14ac:dyDescent="0.35"/>
    <row r="310" customFormat="1" ht="15.75" customHeight="1" x14ac:dyDescent="0.35"/>
    <row r="311" customFormat="1" ht="15.75" customHeight="1" x14ac:dyDescent="0.35"/>
    <row r="312" customFormat="1" ht="15.75" customHeight="1" x14ac:dyDescent="0.35"/>
    <row r="313" customFormat="1" ht="15.75" customHeight="1" x14ac:dyDescent="0.35"/>
    <row r="314" customFormat="1" ht="15.75" customHeight="1" x14ac:dyDescent="0.35"/>
    <row r="315" customFormat="1" ht="15.75" customHeight="1" x14ac:dyDescent="0.35"/>
    <row r="316" customFormat="1" ht="15.75" customHeight="1" x14ac:dyDescent="0.35"/>
    <row r="317" customFormat="1" ht="15.75" customHeight="1" x14ac:dyDescent="0.35"/>
    <row r="318" customFormat="1" ht="15.75" customHeight="1" x14ac:dyDescent="0.35"/>
    <row r="319" customFormat="1" ht="15.75" customHeight="1" x14ac:dyDescent="0.35"/>
    <row r="320" customFormat="1" ht="15.75" customHeight="1" x14ac:dyDescent="0.35"/>
    <row r="321" customFormat="1" ht="15.75" customHeight="1" x14ac:dyDescent="0.35"/>
    <row r="322" customFormat="1" ht="15.75" customHeight="1" x14ac:dyDescent="0.35"/>
    <row r="323" customFormat="1" ht="15.75" customHeight="1" x14ac:dyDescent="0.35"/>
    <row r="324" customFormat="1" ht="15.75" customHeight="1" x14ac:dyDescent="0.35"/>
    <row r="325" customFormat="1" ht="15.75" customHeight="1" x14ac:dyDescent="0.35"/>
    <row r="326" customFormat="1" ht="15.75" customHeight="1" x14ac:dyDescent="0.35"/>
    <row r="327" customFormat="1" ht="15.75" customHeight="1" x14ac:dyDescent="0.35"/>
    <row r="328" customFormat="1" ht="15.75" customHeight="1" x14ac:dyDescent="0.35"/>
    <row r="329" customFormat="1" ht="15.75" customHeight="1" x14ac:dyDescent="0.35"/>
    <row r="330" customFormat="1" ht="15.75" customHeight="1" x14ac:dyDescent="0.35"/>
    <row r="331" customFormat="1" ht="15.75" customHeight="1" x14ac:dyDescent="0.35"/>
    <row r="332" customFormat="1" ht="15.75" customHeight="1" x14ac:dyDescent="0.35"/>
    <row r="333" customFormat="1" ht="15.75" customHeight="1" x14ac:dyDescent="0.35"/>
    <row r="334" customFormat="1" ht="15.75" customHeight="1" x14ac:dyDescent="0.35"/>
    <row r="335" customFormat="1" ht="15.75" customHeight="1" x14ac:dyDescent="0.35"/>
    <row r="336" customFormat="1" ht="15.75" customHeight="1" x14ac:dyDescent="0.35"/>
    <row r="337" customFormat="1" ht="15.75" customHeight="1" x14ac:dyDescent="0.35"/>
    <row r="338" customFormat="1" ht="15.75" customHeight="1" x14ac:dyDescent="0.35"/>
    <row r="339" customFormat="1" ht="15.75" customHeight="1" x14ac:dyDescent="0.35"/>
    <row r="340" customFormat="1" ht="15.75" customHeight="1" x14ac:dyDescent="0.35"/>
    <row r="341" customFormat="1" ht="15.75" customHeight="1" x14ac:dyDescent="0.35"/>
    <row r="342" customFormat="1" ht="15.75" customHeight="1" x14ac:dyDescent="0.35"/>
    <row r="343" customFormat="1" ht="15.75" customHeight="1" x14ac:dyDescent="0.35"/>
    <row r="344" customFormat="1" ht="15.75" customHeight="1" x14ac:dyDescent="0.35"/>
    <row r="345" customFormat="1" ht="15.75" customHeight="1" x14ac:dyDescent="0.35"/>
    <row r="346" customFormat="1" ht="15.75" customHeight="1" x14ac:dyDescent="0.35"/>
    <row r="347" customFormat="1" ht="15.75" customHeight="1" x14ac:dyDescent="0.35"/>
    <row r="348" customFormat="1" ht="15.75" customHeight="1" x14ac:dyDescent="0.35"/>
    <row r="349" customFormat="1" ht="15.75" customHeight="1" x14ac:dyDescent="0.35"/>
    <row r="350" customFormat="1" ht="15.75" customHeight="1" x14ac:dyDescent="0.35"/>
    <row r="351" customFormat="1" ht="15.75" customHeight="1" x14ac:dyDescent="0.35"/>
    <row r="352" customFormat="1" ht="15.75" customHeight="1" x14ac:dyDescent="0.35"/>
    <row r="353" customFormat="1" ht="15.75" customHeight="1" x14ac:dyDescent="0.35"/>
    <row r="354" customFormat="1" ht="15.75" customHeight="1" x14ac:dyDescent="0.35"/>
    <row r="355" customFormat="1" ht="15.75" customHeight="1" x14ac:dyDescent="0.35"/>
    <row r="356" customFormat="1" ht="15.75" customHeight="1" x14ac:dyDescent="0.35"/>
    <row r="357" customFormat="1" ht="15.75" customHeight="1" x14ac:dyDescent="0.35"/>
    <row r="358" customFormat="1" ht="15.75" customHeight="1" x14ac:dyDescent="0.35"/>
    <row r="359" customFormat="1" ht="15.75" customHeight="1" x14ac:dyDescent="0.35"/>
    <row r="360" customFormat="1" ht="15.75" customHeight="1" x14ac:dyDescent="0.35"/>
    <row r="361" customFormat="1" ht="15.75" customHeight="1" x14ac:dyDescent="0.35"/>
    <row r="362" customFormat="1" ht="15.75" customHeight="1" x14ac:dyDescent="0.35"/>
    <row r="363" customFormat="1" ht="15.75" customHeight="1" x14ac:dyDescent="0.35"/>
    <row r="364" customFormat="1" ht="15.75" customHeight="1" x14ac:dyDescent="0.35"/>
    <row r="365" customFormat="1" ht="15.75" customHeight="1" x14ac:dyDescent="0.35"/>
    <row r="366" customFormat="1" ht="15.75" customHeight="1" x14ac:dyDescent="0.35"/>
    <row r="367" customFormat="1" ht="15.75" customHeight="1" x14ac:dyDescent="0.35"/>
    <row r="368" customFormat="1" ht="15.75" customHeight="1" x14ac:dyDescent="0.35"/>
    <row r="369" customFormat="1" ht="15.75" customHeight="1" x14ac:dyDescent="0.35"/>
    <row r="370" customFormat="1" ht="15.75" customHeight="1" x14ac:dyDescent="0.35"/>
    <row r="371" customFormat="1" ht="15.75" customHeight="1" x14ac:dyDescent="0.35"/>
    <row r="372" customFormat="1" ht="15.75" customHeight="1" x14ac:dyDescent="0.35"/>
    <row r="373" customFormat="1" ht="15.75" customHeight="1" x14ac:dyDescent="0.35"/>
    <row r="374" customFormat="1" ht="15.75" customHeight="1" x14ac:dyDescent="0.35"/>
    <row r="375" customFormat="1" ht="15.75" customHeight="1" x14ac:dyDescent="0.35"/>
    <row r="376" customFormat="1" ht="15.75" customHeight="1" x14ac:dyDescent="0.35"/>
    <row r="377" customFormat="1" ht="15.75" customHeight="1" x14ac:dyDescent="0.35"/>
    <row r="378" customFormat="1" ht="15.75" customHeight="1" x14ac:dyDescent="0.35"/>
    <row r="379" customFormat="1" ht="15.75" customHeight="1" x14ac:dyDescent="0.35"/>
    <row r="380" customFormat="1" ht="15.75" customHeight="1" x14ac:dyDescent="0.35"/>
    <row r="381" customFormat="1" ht="15.75" customHeight="1" x14ac:dyDescent="0.35"/>
    <row r="382" customFormat="1" ht="15.75" customHeight="1" x14ac:dyDescent="0.35"/>
    <row r="383" customFormat="1" ht="15.75" customHeight="1" x14ac:dyDescent="0.35"/>
    <row r="384" customFormat="1" ht="15.75" customHeight="1" x14ac:dyDescent="0.35"/>
    <row r="385" customFormat="1" ht="15.75" customHeight="1" x14ac:dyDescent="0.35"/>
    <row r="386" customFormat="1" ht="15.75" customHeight="1" x14ac:dyDescent="0.35"/>
    <row r="387" customFormat="1" ht="15.75" customHeight="1" x14ac:dyDescent="0.35"/>
    <row r="388" customFormat="1" ht="15.75" customHeight="1" x14ac:dyDescent="0.35"/>
    <row r="389" customFormat="1" ht="15.75" customHeight="1" x14ac:dyDescent="0.35"/>
    <row r="390" customFormat="1" ht="15.75" customHeight="1" x14ac:dyDescent="0.35"/>
    <row r="391" customFormat="1" ht="15.75" customHeight="1" x14ac:dyDescent="0.35"/>
    <row r="392" customFormat="1" ht="15.75" customHeight="1" x14ac:dyDescent="0.35"/>
    <row r="393" customFormat="1" ht="15.75" customHeight="1" x14ac:dyDescent="0.35"/>
    <row r="394" customFormat="1" ht="15.75" customHeight="1" x14ac:dyDescent="0.35"/>
    <row r="395" customFormat="1" ht="15.75" customHeight="1" x14ac:dyDescent="0.35"/>
    <row r="396" customFormat="1" ht="15.75" customHeight="1" x14ac:dyDescent="0.35"/>
    <row r="397" customFormat="1" ht="15.75" customHeight="1" x14ac:dyDescent="0.35"/>
    <row r="398" customFormat="1" ht="15.75" customHeight="1" x14ac:dyDescent="0.35"/>
    <row r="399" customFormat="1" ht="15.75" customHeight="1" x14ac:dyDescent="0.35"/>
    <row r="400" customFormat="1" ht="15.75" customHeight="1" x14ac:dyDescent="0.35"/>
    <row r="401" customFormat="1" ht="15.75" customHeight="1" x14ac:dyDescent="0.35"/>
    <row r="402" customFormat="1" ht="15.75" customHeight="1" x14ac:dyDescent="0.35"/>
    <row r="403" customFormat="1" ht="15.75" customHeight="1" x14ac:dyDescent="0.35"/>
    <row r="404" customFormat="1" ht="15.75" customHeight="1" x14ac:dyDescent="0.35"/>
    <row r="405" customFormat="1" ht="15.75" customHeight="1" x14ac:dyDescent="0.35"/>
    <row r="406" customFormat="1" ht="15.75" customHeight="1" x14ac:dyDescent="0.35"/>
    <row r="407" customFormat="1" ht="15.75" customHeight="1" x14ac:dyDescent="0.35"/>
    <row r="408" customFormat="1" ht="15.75" customHeight="1" x14ac:dyDescent="0.35"/>
    <row r="409" customFormat="1" ht="15.75" customHeight="1" x14ac:dyDescent="0.35"/>
    <row r="410" customFormat="1" ht="15.75" customHeight="1" x14ac:dyDescent="0.35"/>
    <row r="411" customFormat="1" ht="15.75" customHeight="1" x14ac:dyDescent="0.35"/>
    <row r="412" customFormat="1" ht="15.75" customHeight="1" x14ac:dyDescent="0.35"/>
    <row r="413" customFormat="1" ht="15.75" customHeight="1" x14ac:dyDescent="0.35"/>
    <row r="414" customFormat="1" ht="15.75" customHeight="1" x14ac:dyDescent="0.35"/>
    <row r="415" customFormat="1" ht="15.75" customHeight="1" x14ac:dyDescent="0.35"/>
    <row r="416" customFormat="1" ht="15.75" customHeight="1" x14ac:dyDescent="0.35"/>
    <row r="417" customFormat="1" ht="15.75" customHeight="1" x14ac:dyDescent="0.35"/>
    <row r="418" customFormat="1" ht="15.75" customHeight="1" x14ac:dyDescent="0.35"/>
    <row r="419" customFormat="1" ht="15.75" customHeight="1" x14ac:dyDescent="0.35"/>
    <row r="420" customFormat="1" ht="15.75" customHeight="1" x14ac:dyDescent="0.35"/>
    <row r="421" customFormat="1" ht="15.75" customHeight="1" x14ac:dyDescent="0.35"/>
    <row r="422" customFormat="1" ht="15.75" customHeight="1" x14ac:dyDescent="0.35"/>
    <row r="423" customFormat="1" ht="15.75" customHeight="1" x14ac:dyDescent="0.35"/>
    <row r="424" customFormat="1" ht="15.75" customHeight="1" x14ac:dyDescent="0.35"/>
    <row r="425" customFormat="1" ht="15.75" customHeight="1" x14ac:dyDescent="0.35"/>
    <row r="426" customFormat="1" ht="15.75" customHeight="1" x14ac:dyDescent="0.35"/>
    <row r="427" customFormat="1" ht="15.75" customHeight="1" x14ac:dyDescent="0.35"/>
    <row r="428" customFormat="1" ht="15.75" customHeight="1" x14ac:dyDescent="0.35"/>
    <row r="429" customFormat="1" ht="15.75" customHeight="1" x14ac:dyDescent="0.35"/>
    <row r="430" customFormat="1" ht="15.75" customHeight="1" x14ac:dyDescent="0.35"/>
    <row r="431" customFormat="1" ht="15.75" customHeight="1" x14ac:dyDescent="0.35"/>
    <row r="432" customFormat="1" ht="15.75" customHeight="1" x14ac:dyDescent="0.35"/>
    <row r="433" customFormat="1" ht="15.75" customHeight="1" x14ac:dyDescent="0.35"/>
    <row r="434" customFormat="1" ht="15.75" customHeight="1" x14ac:dyDescent="0.35"/>
    <row r="435" customFormat="1" ht="15.75" customHeight="1" x14ac:dyDescent="0.35"/>
    <row r="436" customFormat="1" ht="15.75" customHeight="1" x14ac:dyDescent="0.35"/>
    <row r="437" customFormat="1" ht="15.75" customHeight="1" x14ac:dyDescent="0.35"/>
    <row r="438" customFormat="1" ht="15.75" customHeight="1" x14ac:dyDescent="0.35"/>
    <row r="439" customFormat="1" ht="15.75" customHeight="1" x14ac:dyDescent="0.35"/>
    <row r="440" customFormat="1" ht="15.75" customHeight="1" x14ac:dyDescent="0.35"/>
    <row r="441" customFormat="1" ht="15.75" customHeight="1" x14ac:dyDescent="0.35"/>
    <row r="442" customFormat="1" ht="15.75" customHeight="1" x14ac:dyDescent="0.35"/>
    <row r="443" customFormat="1" ht="15.75" customHeight="1" x14ac:dyDescent="0.35"/>
    <row r="444" customFormat="1" ht="15.75" customHeight="1" x14ac:dyDescent="0.35"/>
    <row r="445" customFormat="1" ht="15.75" customHeight="1" x14ac:dyDescent="0.35"/>
    <row r="446" customFormat="1" ht="15.75" customHeight="1" x14ac:dyDescent="0.35"/>
    <row r="447" customFormat="1" ht="15.75" customHeight="1" x14ac:dyDescent="0.35"/>
    <row r="448" customFormat="1" ht="15.75" customHeight="1" x14ac:dyDescent="0.35"/>
    <row r="449" customFormat="1" ht="15.75" customHeight="1" x14ac:dyDescent="0.35"/>
    <row r="450" customFormat="1" ht="15.75" customHeight="1" x14ac:dyDescent="0.35"/>
    <row r="451" customFormat="1" ht="15.75" customHeight="1" x14ac:dyDescent="0.35"/>
    <row r="452" customFormat="1" ht="15.75" customHeight="1" x14ac:dyDescent="0.35"/>
    <row r="453" customFormat="1" ht="15.75" customHeight="1" x14ac:dyDescent="0.35"/>
    <row r="454" customFormat="1" ht="15.75" customHeight="1" x14ac:dyDescent="0.35"/>
    <row r="455" customFormat="1" ht="15.75" customHeight="1" x14ac:dyDescent="0.35"/>
    <row r="456" customFormat="1" ht="15.75" customHeight="1" x14ac:dyDescent="0.35"/>
    <row r="457" customFormat="1" ht="15.75" customHeight="1" x14ac:dyDescent="0.35"/>
    <row r="458" customFormat="1" ht="15.75" customHeight="1" x14ac:dyDescent="0.35"/>
    <row r="459" customFormat="1" ht="15.75" customHeight="1" x14ac:dyDescent="0.35"/>
    <row r="460" customFormat="1" ht="15.75" customHeight="1" x14ac:dyDescent="0.35"/>
    <row r="461" customFormat="1" ht="15.75" customHeight="1" x14ac:dyDescent="0.35"/>
    <row r="462" customFormat="1" ht="15.75" customHeight="1" x14ac:dyDescent="0.35"/>
    <row r="463" customFormat="1" ht="15.75" customHeight="1" x14ac:dyDescent="0.35"/>
    <row r="464" customFormat="1" ht="15.75" customHeight="1" x14ac:dyDescent="0.35"/>
    <row r="465" customFormat="1" ht="15.75" customHeight="1" x14ac:dyDescent="0.35"/>
    <row r="466" customFormat="1" ht="15.75" customHeight="1" x14ac:dyDescent="0.35"/>
    <row r="467" customFormat="1" ht="15.75" customHeight="1" x14ac:dyDescent="0.35"/>
    <row r="468" customFormat="1" ht="15.75" customHeight="1" x14ac:dyDescent="0.35"/>
    <row r="469" customFormat="1" ht="15.75" customHeight="1" x14ac:dyDescent="0.35"/>
    <row r="470" customFormat="1" ht="15.75" customHeight="1" x14ac:dyDescent="0.35"/>
    <row r="471" customFormat="1" ht="15.75" customHeight="1" x14ac:dyDescent="0.35"/>
    <row r="472" customFormat="1" ht="15.75" customHeight="1" x14ac:dyDescent="0.35"/>
    <row r="473" customFormat="1" ht="15.75" customHeight="1" x14ac:dyDescent="0.35"/>
    <row r="474" customFormat="1" ht="15.75" customHeight="1" x14ac:dyDescent="0.35"/>
    <row r="475" customFormat="1" ht="15.75" customHeight="1" x14ac:dyDescent="0.35"/>
    <row r="476" customFormat="1" ht="15.75" customHeight="1" x14ac:dyDescent="0.35"/>
    <row r="477" customFormat="1" ht="15.75" customHeight="1" x14ac:dyDescent="0.35"/>
    <row r="478" customFormat="1" ht="15.75" customHeight="1" x14ac:dyDescent="0.35"/>
    <row r="479" customFormat="1" ht="15.75" customHeight="1" x14ac:dyDescent="0.35"/>
    <row r="480" customFormat="1" ht="15.75" customHeight="1" x14ac:dyDescent="0.35"/>
    <row r="481" customFormat="1" ht="15.75" customHeight="1" x14ac:dyDescent="0.35"/>
    <row r="482" customFormat="1" ht="15.75" customHeight="1" x14ac:dyDescent="0.35"/>
    <row r="483" customFormat="1" ht="15.75" customHeight="1" x14ac:dyDescent="0.35"/>
    <row r="484" customFormat="1" ht="15.75" customHeight="1" x14ac:dyDescent="0.35"/>
    <row r="485" customFormat="1" ht="15.75" customHeight="1" x14ac:dyDescent="0.35"/>
    <row r="486" customFormat="1" ht="15.75" customHeight="1" x14ac:dyDescent="0.35"/>
    <row r="487" customFormat="1" ht="15.75" customHeight="1" x14ac:dyDescent="0.35"/>
    <row r="488" customFormat="1" ht="15.75" customHeight="1" x14ac:dyDescent="0.35"/>
    <row r="489" customFormat="1" ht="15.75" customHeight="1" x14ac:dyDescent="0.35"/>
    <row r="490" customFormat="1" ht="15.75" customHeight="1" x14ac:dyDescent="0.35"/>
    <row r="491" customFormat="1" ht="15.75" customHeight="1" x14ac:dyDescent="0.35"/>
    <row r="492" customFormat="1" ht="15.75" customHeight="1" x14ac:dyDescent="0.35"/>
    <row r="493" customFormat="1" ht="15.75" customHeight="1" x14ac:dyDescent="0.35"/>
    <row r="494" customFormat="1" ht="15.75" customHeight="1" x14ac:dyDescent="0.35"/>
    <row r="495" customFormat="1" ht="15.75" customHeight="1" x14ac:dyDescent="0.35"/>
    <row r="496" customFormat="1" ht="15.75" customHeight="1" x14ac:dyDescent="0.35"/>
    <row r="497" customFormat="1" ht="15.75" customHeight="1" x14ac:dyDescent="0.35"/>
    <row r="498" customFormat="1" ht="15.75" customHeight="1" x14ac:dyDescent="0.35"/>
    <row r="499" customFormat="1" ht="15.75" customHeight="1" x14ac:dyDescent="0.35"/>
    <row r="500" customFormat="1" ht="15.75" customHeight="1" x14ac:dyDescent="0.35"/>
    <row r="501" customFormat="1" ht="15.75" customHeight="1" x14ac:dyDescent="0.35"/>
    <row r="502" customFormat="1" ht="15.75" customHeight="1" x14ac:dyDescent="0.35"/>
    <row r="503" customFormat="1" ht="15.75" customHeight="1" x14ac:dyDescent="0.35"/>
    <row r="504" customFormat="1" ht="15.75" customHeight="1" x14ac:dyDescent="0.35"/>
    <row r="505" customFormat="1" ht="15.75" customHeight="1" x14ac:dyDescent="0.35"/>
    <row r="506" customFormat="1" ht="15.75" customHeight="1" x14ac:dyDescent="0.35"/>
    <row r="507" customFormat="1" ht="15.75" customHeight="1" x14ac:dyDescent="0.35"/>
    <row r="508" customFormat="1" ht="15.75" customHeight="1" x14ac:dyDescent="0.35"/>
    <row r="509" customFormat="1" ht="15.75" customHeight="1" x14ac:dyDescent="0.35"/>
    <row r="510" customFormat="1" ht="15.75" customHeight="1" x14ac:dyDescent="0.35"/>
    <row r="511" customFormat="1" ht="15.75" customHeight="1" x14ac:dyDescent="0.35"/>
    <row r="512" customFormat="1" ht="15.75" customHeight="1" x14ac:dyDescent="0.35"/>
    <row r="513" customFormat="1" ht="15.75" customHeight="1" x14ac:dyDescent="0.35"/>
    <row r="514" customFormat="1" ht="15.75" customHeight="1" x14ac:dyDescent="0.35"/>
    <row r="515" customFormat="1" ht="15.75" customHeight="1" x14ac:dyDescent="0.35"/>
    <row r="516" customFormat="1" ht="15.75" customHeight="1" x14ac:dyDescent="0.35"/>
    <row r="517" customFormat="1" ht="15.75" customHeight="1" x14ac:dyDescent="0.35"/>
    <row r="518" customFormat="1" ht="15.75" customHeight="1" x14ac:dyDescent="0.35"/>
    <row r="519" customFormat="1" ht="15.75" customHeight="1" x14ac:dyDescent="0.35"/>
    <row r="520" customFormat="1" ht="15.75" customHeight="1" x14ac:dyDescent="0.35"/>
    <row r="521" customFormat="1" ht="15.75" customHeight="1" x14ac:dyDescent="0.35"/>
    <row r="522" customFormat="1" ht="15.75" customHeight="1" x14ac:dyDescent="0.35"/>
    <row r="523" customFormat="1" ht="15.75" customHeight="1" x14ac:dyDescent="0.35"/>
    <row r="524" customFormat="1" ht="15.75" customHeight="1" x14ac:dyDescent="0.35"/>
    <row r="525" customFormat="1" ht="15.75" customHeight="1" x14ac:dyDescent="0.35"/>
    <row r="526" customFormat="1" ht="15.75" customHeight="1" x14ac:dyDescent="0.35"/>
    <row r="527" customFormat="1" ht="15.75" customHeight="1" x14ac:dyDescent="0.35"/>
    <row r="528" customFormat="1" ht="15.75" customHeight="1" x14ac:dyDescent="0.35"/>
    <row r="529" customFormat="1" ht="15.75" customHeight="1" x14ac:dyDescent="0.35"/>
    <row r="530" customFormat="1" ht="15.75" customHeight="1" x14ac:dyDescent="0.35"/>
    <row r="531" customFormat="1" ht="15.75" customHeight="1" x14ac:dyDescent="0.35"/>
    <row r="532" customFormat="1" ht="15.75" customHeight="1" x14ac:dyDescent="0.35"/>
    <row r="533" customFormat="1" ht="15.75" customHeight="1" x14ac:dyDescent="0.35"/>
    <row r="534" customFormat="1" ht="15.75" customHeight="1" x14ac:dyDescent="0.35"/>
    <row r="535" customFormat="1" ht="15.75" customHeight="1" x14ac:dyDescent="0.35"/>
    <row r="536" customFormat="1" ht="15.75" customHeight="1" x14ac:dyDescent="0.35"/>
    <row r="537" customFormat="1" ht="15.75" customHeight="1" x14ac:dyDescent="0.35"/>
    <row r="538" customFormat="1" ht="15.75" customHeight="1" x14ac:dyDescent="0.35"/>
    <row r="539" customFormat="1" ht="15.75" customHeight="1" x14ac:dyDescent="0.35"/>
    <row r="540" customFormat="1" ht="15.75" customHeight="1" x14ac:dyDescent="0.35"/>
    <row r="541" customFormat="1" ht="15.75" customHeight="1" x14ac:dyDescent="0.35"/>
    <row r="542" customFormat="1" ht="15.75" customHeight="1" x14ac:dyDescent="0.35"/>
    <row r="543" customFormat="1" ht="15.75" customHeight="1" x14ac:dyDescent="0.35"/>
    <row r="544" customFormat="1" ht="15.75" customHeight="1" x14ac:dyDescent="0.35"/>
    <row r="545" customFormat="1" ht="15.75" customHeight="1" x14ac:dyDescent="0.35"/>
    <row r="546" customFormat="1" ht="15.75" customHeight="1" x14ac:dyDescent="0.35"/>
    <row r="547" customFormat="1" ht="15.75" customHeight="1" x14ac:dyDescent="0.35"/>
    <row r="548" customFormat="1" ht="15.75" customHeight="1" x14ac:dyDescent="0.35"/>
    <row r="549" customFormat="1" ht="15.75" customHeight="1" x14ac:dyDescent="0.35"/>
    <row r="550" customFormat="1" ht="15.75" customHeight="1" x14ac:dyDescent="0.35"/>
    <row r="551" customFormat="1" ht="15.75" customHeight="1" x14ac:dyDescent="0.35"/>
    <row r="552" customFormat="1" ht="15.75" customHeight="1" x14ac:dyDescent="0.35"/>
    <row r="553" customFormat="1" ht="15.75" customHeight="1" x14ac:dyDescent="0.35"/>
    <row r="554" customFormat="1" ht="15.75" customHeight="1" x14ac:dyDescent="0.35"/>
    <row r="555" customFormat="1" ht="15.75" customHeight="1" x14ac:dyDescent="0.35"/>
    <row r="556" customFormat="1" ht="15.75" customHeight="1" x14ac:dyDescent="0.35"/>
    <row r="557" customFormat="1" ht="15.75" customHeight="1" x14ac:dyDescent="0.35"/>
    <row r="558" customFormat="1" ht="15.75" customHeight="1" x14ac:dyDescent="0.35"/>
    <row r="559" customFormat="1" ht="15.75" customHeight="1" x14ac:dyDescent="0.35"/>
    <row r="560" customFormat="1" ht="15.75" customHeight="1" x14ac:dyDescent="0.35"/>
    <row r="561" customFormat="1" ht="15.75" customHeight="1" x14ac:dyDescent="0.35"/>
    <row r="562" customFormat="1" ht="15.75" customHeight="1" x14ac:dyDescent="0.35"/>
    <row r="563" customFormat="1" ht="15.75" customHeight="1" x14ac:dyDescent="0.35"/>
    <row r="564" customFormat="1" ht="15.75" customHeight="1" x14ac:dyDescent="0.35"/>
    <row r="565" customFormat="1" ht="15.75" customHeight="1" x14ac:dyDescent="0.35"/>
    <row r="566" customFormat="1" ht="15.75" customHeight="1" x14ac:dyDescent="0.35"/>
    <row r="567" customFormat="1" ht="15.75" customHeight="1" x14ac:dyDescent="0.35"/>
    <row r="568" customFormat="1" ht="15.75" customHeight="1" x14ac:dyDescent="0.35"/>
    <row r="569" customFormat="1" ht="15.75" customHeight="1" x14ac:dyDescent="0.35"/>
    <row r="570" customFormat="1" ht="15.75" customHeight="1" x14ac:dyDescent="0.35"/>
    <row r="571" customFormat="1" ht="15.75" customHeight="1" x14ac:dyDescent="0.35"/>
    <row r="572" customFormat="1" ht="15.75" customHeight="1" x14ac:dyDescent="0.35"/>
    <row r="573" customFormat="1" ht="15.75" customHeight="1" x14ac:dyDescent="0.35"/>
    <row r="574" customFormat="1" ht="15.75" customHeight="1" x14ac:dyDescent="0.35"/>
    <row r="575" customFormat="1" ht="15.75" customHeight="1" x14ac:dyDescent="0.35"/>
    <row r="576" customFormat="1" ht="15.75" customHeight="1" x14ac:dyDescent="0.35"/>
    <row r="577" customFormat="1" ht="15.75" customHeight="1" x14ac:dyDescent="0.35"/>
    <row r="578" customFormat="1" ht="15.75" customHeight="1" x14ac:dyDescent="0.35"/>
    <row r="579" customFormat="1" ht="15.75" customHeight="1" x14ac:dyDescent="0.35"/>
    <row r="580" customFormat="1" ht="15.75" customHeight="1" x14ac:dyDescent="0.35"/>
    <row r="581" customFormat="1" ht="15.75" customHeight="1" x14ac:dyDescent="0.35"/>
    <row r="582" customFormat="1" ht="15.75" customHeight="1" x14ac:dyDescent="0.35"/>
    <row r="583" customFormat="1" ht="15.75" customHeight="1" x14ac:dyDescent="0.35"/>
    <row r="584" customFormat="1" ht="15.75" customHeight="1" x14ac:dyDescent="0.35"/>
    <row r="585" customFormat="1" ht="15.75" customHeight="1" x14ac:dyDescent="0.35"/>
    <row r="586" customFormat="1" ht="15.75" customHeight="1" x14ac:dyDescent="0.35"/>
    <row r="587" customFormat="1" ht="15.75" customHeight="1" x14ac:dyDescent="0.35"/>
    <row r="588" customFormat="1" ht="15.75" customHeight="1" x14ac:dyDescent="0.35"/>
    <row r="589" customFormat="1" ht="15.75" customHeight="1" x14ac:dyDescent="0.35"/>
    <row r="590" customFormat="1" ht="15.75" customHeight="1" x14ac:dyDescent="0.35"/>
    <row r="591" customFormat="1" ht="15.75" customHeight="1" x14ac:dyDescent="0.35"/>
    <row r="592" customFormat="1" ht="15.75" customHeight="1" x14ac:dyDescent="0.35"/>
    <row r="593" customFormat="1" ht="15.75" customHeight="1" x14ac:dyDescent="0.35"/>
    <row r="594" customFormat="1" ht="15.75" customHeight="1" x14ac:dyDescent="0.35"/>
    <row r="595" customFormat="1" ht="15.75" customHeight="1" x14ac:dyDescent="0.35"/>
    <row r="596" customFormat="1" ht="15.75" customHeight="1" x14ac:dyDescent="0.35"/>
    <row r="597" customFormat="1" ht="15.75" customHeight="1" x14ac:dyDescent="0.35"/>
    <row r="598" customFormat="1" ht="15.75" customHeight="1" x14ac:dyDescent="0.35"/>
    <row r="599" customFormat="1" ht="15.75" customHeight="1" x14ac:dyDescent="0.35"/>
    <row r="600" customFormat="1" ht="15.75" customHeight="1" x14ac:dyDescent="0.35"/>
    <row r="601" customFormat="1" ht="15.75" customHeight="1" x14ac:dyDescent="0.35"/>
    <row r="602" customFormat="1" ht="15.75" customHeight="1" x14ac:dyDescent="0.35"/>
    <row r="603" customFormat="1" ht="15.75" customHeight="1" x14ac:dyDescent="0.35"/>
    <row r="604" customFormat="1" ht="15.75" customHeight="1" x14ac:dyDescent="0.35"/>
    <row r="605" customFormat="1" ht="15.75" customHeight="1" x14ac:dyDescent="0.35"/>
    <row r="606" customFormat="1" ht="15.75" customHeight="1" x14ac:dyDescent="0.35"/>
    <row r="607" customFormat="1" ht="15.75" customHeight="1" x14ac:dyDescent="0.35"/>
    <row r="608" customFormat="1" ht="15.75" customHeight="1" x14ac:dyDescent="0.35"/>
    <row r="609" customFormat="1" ht="15.75" customHeight="1" x14ac:dyDescent="0.35"/>
    <row r="610" customFormat="1" ht="15.75" customHeight="1" x14ac:dyDescent="0.35"/>
    <row r="611" customFormat="1" ht="15.75" customHeight="1" x14ac:dyDescent="0.35"/>
    <row r="612" customFormat="1" ht="15.75" customHeight="1" x14ac:dyDescent="0.35"/>
    <row r="613" customFormat="1" ht="15.75" customHeight="1" x14ac:dyDescent="0.35"/>
    <row r="614" customFormat="1" ht="15.75" customHeight="1" x14ac:dyDescent="0.35"/>
    <row r="615" customFormat="1" ht="15.75" customHeight="1" x14ac:dyDescent="0.35"/>
    <row r="616" customFormat="1" ht="15.75" customHeight="1" x14ac:dyDescent="0.35"/>
    <row r="617" customFormat="1" ht="15.75" customHeight="1" x14ac:dyDescent="0.35"/>
    <row r="618" customFormat="1" ht="15.75" customHeight="1" x14ac:dyDescent="0.35"/>
    <row r="619" customFormat="1" ht="15.75" customHeight="1" x14ac:dyDescent="0.35"/>
    <row r="620" customFormat="1" ht="15.75" customHeight="1" x14ac:dyDescent="0.35"/>
    <row r="621" customFormat="1" ht="15.75" customHeight="1" x14ac:dyDescent="0.35"/>
    <row r="622" customFormat="1" ht="15.75" customHeight="1" x14ac:dyDescent="0.35"/>
    <row r="623" customFormat="1" ht="15.75" customHeight="1" x14ac:dyDescent="0.35"/>
    <row r="624" customFormat="1" ht="15.75" customHeight="1" x14ac:dyDescent="0.35"/>
    <row r="625" customFormat="1" ht="15.75" customHeight="1" x14ac:dyDescent="0.35"/>
    <row r="626" customFormat="1" ht="15.75" customHeight="1" x14ac:dyDescent="0.35"/>
    <row r="627" customFormat="1" ht="15.75" customHeight="1" x14ac:dyDescent="0.35"/>
    <row r="628" customFormat="1" ht="15.75" customHeight="1" x14ac:dyDescent="0.35"/>
    <row r="629" customFormat="1" ht="15.75" customHeight="1" x14ac:dyDescent="0.35"/>
    <row r="630" customFormat="1" ht="15.75" customHeight="1" x14ac:dyDescent="0.35"/>
    <row r="631" customFormat="1" ht="15.75" customHeight="1" x14ac:dyDescent="0.35"/>
    <row r="632" customFormat="1" ht="15.75" customHeight="1" x14ac:dyDescent="0.35"/>
    <row r="633" customFormat="1" ht="15.75" customHeight="1" x14ac:dyDescent="0.35"/>
    <row r="634" customFormat="1" ht="15.75" customHeight="1" x14ac:dyDescent="0.35"/>
    <row r="635" customFormat="1" ht="15.75" customHeight="1" x14ac:dyDescent="0.35"/>
    <row r="636" customFormat="1" ht="15.75" customHeight="1" x14ac:dyDescent="0.35"/>
    <row r="637" customFormat="1" ht="15.75" customHeight="1" x14ac:dyDescent="0.35"/>
    <row r="638" customFormat="1" ht="15.75" customHeight="1" x14ac:dyDescent="0.35"/>
    <row r="639" customFormat="1" ht="15.75" customHeight="1" x14ac:dyDescent="0.35"/>
    <row r="640" customFormat="1" ht="15.75" customHeight="1" x14ac:dyDescent="0.35"/>
    <row r="641" customFormat="1" ht="15.75" customHeight="1" x14ac:dyDescent="0.35"/>
    <row r="642" customFormat="1" ht="15.75" customHeight="1" x14ac:dyDescent="0.35"/>
    <row r="643" customFormat="1" ht="15.75" customHeight="1" x14ac:dyDescent="0.35"/>
    <row r="644" customFormat="1" ht="15.75" customHeight="1" x14ac:dyDescent="0.35"/>
    <row r="645" customFormat="1" ht="15.75" customHeight="1" x14ac:dyDescent="0.35"/>
    <row r="646" customFormat="1" ht="15.75" customHeight="1" x14ac:dyDescent="0.35"/>
    <row r="647" customFormat="1" ht="15.75" customHeight="1" x14ac:dyDescent="0.35"/>
    <row r="648" customFormat="1" ht="15.75" customHeight="1" x14ac:dyDescent="0.35"/>
    <row r="649" customFormat="1" ht="15.75" customHeight="1" x14ac:dyDescent="0.35"/>
    <row r="650" customFormat="1" ht="15.75" customHeight="1" x14ac:dyDescent="0.35"/>
    <row r="651" customFormat="1" ht="15.75" customHeight="1" x14ac:dyDescent="0.35"/>
    <row r="652" customFormat="1" ht="15.75" customHeight="1" x14ac:dyDescent="0.35"/>
    <row r="653" customFormat="1" ht="15.75" customHeight="1" x14ac:dyDescent="0.35"/>
    <row r="654" customFormat="1" ht="15.75" customHeight="1" x14ac:dyDescent="0.35"/>
    <row r="655" customFormat="1" ht="15.75" customHeight="1" x14ac:dyDescent="0.35"/>
    <row r="656" customFormat="1" ht="15.75" customHeight="1" x14ac:dyDescent="0.35"/>
    <row r="657" customFormat="1" ht="15.75" customHeight="1" x14ac:dyDescent="0.35"/>
    <row r="658" customFormat="1" ht="15.75" customHeight="1" x14ac:dyDescent="0.35"/>
    <row r="659" customFormat="1" ht="15.75" customHeight="1" x14ac:dyDescent="0.35"/>
    <row r="660" customFormat="1" ht="15.75" customHeight="1" x14ac:dyDescent="0.35"/>
    <row r="661" customFormat="1" ht="15.75" customHeight="1" x14ac:dyDescent="0.35"/>
    <row r="662" customFormat="1" ht="15.75" customHeight="1" x14ac:dyDescent="0.35"/>
    <row r="663" customFormat="1" ht="15.75" customHeight="1" x14ac:dyDescent="0.35"/>
    <row r="664" customFormat="1" ht="15.75" customHeight="1" x14ac:dyDescent="0.35"/>
    <row r="665" customFormat="1" ht="15.75" customHeight="1" x14ac:dyDescent="0.35"/>
    <row r="666" customFormat="1" ht="15.75" customHeight="1" x14ac:dyDescent="0.35"/>
    <row r="667" customFormat="1" ht="15.75" customHeight="1" x14ac:dyDescent="0.35"/>
    <row r="668" customFormat="1" ht="15.75" customHeight="1" x14ac:dyDescent="0.35"/>
    <row r="669" customFormat="1" ht="15.75" customHeight="1" x14ac:dyDescent="0.35"/>
    <row r="670" customFormat="1" ht="15.75" customHeight="1" x14ac:dyDescent="0.35"/>
    <row r="671" customFormat="1" ht="15.75" customHeight="1" x14ac:dyDescent="0.35"/>
    <row r="672" customFormat="1" ht="15.75" customHeight="1" x14ac:dyDescent="0.35"/>
    <row r="673" customFormat="1" ht="15.75" customHeight="1" x14ac:dyDescent="0.35"/>
    <row r="674" customFormat="1" ht="15.75" customHeight="1" x14ac:dyDescent="0.35"/>
    <row r="675" customFormat="1" ht="15.75" customHeight="1" x14ac:dyDescent="0.35"/>
    <row r="676" customFormat="1" ht="15.75" customHeight="1" x14ac:dyDescent="0.35"/>
    <row r="677" customFormat="1" ht="15.75" customHeight="1" x14ac:dyDescent="0.35"/>
    <row r="678" customFormat="1" ht="15.75" customHeight="1" x14ac:dyDescent="0.35"/>
    <row r="679" customFormat="1" ht="15.75" customHeight="1" x14ac:dyDescent="0.35"/>
    <row r="680" customFormat="1" ht="15.75" customHeight="1" x14ac:dyDescent="0.35"/>
    <row r="681" customFormat="1" ht="15.75" customHeight="1" x14ac:dyDescent="0.35"/>
    <row r="682" customFormat="1" ht="15.75" customHeight="1" x14ac:dyDescent="0.35"/>
    <row r="683" customFormat="1" ht="15.75" customHeight="1" x14ac:dyDescent="0.35"/>
    <row r="684" customFormat="1" ht="15.75" customHeight="1" x14ac:dyDescent="0.35"/>
    <row r="685" customFormat="1" ht="15.75" customHeight="1" x14ac:dyDescent="0.35"/>
    <row r="686" customFormat="1" ht="15.75" customHeight="1" x14ac:dyDescent="0.35"/>
    <row r="687" customFormat="1" ht="15.75" customHeight="1" x14ac:dyDescent="0.35"/>
    <row r="688" customFormat="1" ht="15.75" customHeight="1" x14ac:dyDescent="0.35"/>
    <row r="689" customFormat="1" ht="15.75" customHeight="1" x14ac:dyDescent="0.35"/>
    <row r="690" customFormat="1" ht="15.75" customHeight="1" x14ac:dyDescent="0.35"/>
    <row r="691" customFormat="1" ht="15.75" customHeight="1" x14ac:dyDescent="0.35"/>
    <row r="692" customFormat="1" ht="15.75" customHeight="1" x14ac:dyDescent="0.35"/>
    <row r="693" customFormat="1" ht="15.75" customHeight="1" x14ac:dyDescent="0.35"/>
    <row r="694" customFormat="1" ht="15.75" customHeight="1" x14ac:dyDescent="0.35"/>
    <row r="695" customFormat="1" ht="15.75" customHeight="1" x14ac:dyDescent="0.35"/>
    <row r="696" customFormat="1" ht="15.75" customHeight="1" x14ac:dyDescent="0.35"/>
    <row r="697" customFormat="1" ht="15.75" customHeight="1" x14ac:dyDescent="0.35"/>
    <row r="698" customFormat="1" ht="15.75" customHeight="1" x14ac:dyDescent="0.35"/>
    <row r="699" customFormat="1" ht="15.75" customHeight="1" x14ac:dyDescent="0.35"/>
    <row r="700" customFormat="1" ht="15.75" customHeight="1" x14ac:dyDescent="0.35"/>
    <row r="701" customFormat="1" ht="15.75" customHeight="1" x14ac:dyDescent="0.35"/>
    <row r="702" customFormat="1" ht="15.75" customHeight="1" x14ac:dyDescent="0.35"/>
    <row r="703" customFormat="1" ht="15.75" customHeight="1" x14ac:dyDescent="0.35"/>
    <row r="704" customFormat="1" ht="15.75" customHeight="1" x14ac:dyDescent="0.35"/>
    <row r="705" customFormat="1" ht="15.75" customHeight="1" x14ac:dyDescent="0.35"/>
    <row r="706" customFormat="1" ht="15.75" customHeight="1" x14ac:dyDescent="0.35"/>
    <row r="707" customFormat="1" ht="15.75" customHeight="1" x14ac:dyDescent="0.35"/>
    <row r="708" customFormat="1" ht="15.75" customHeight="1" x14ac:dyDescent="0.35"/>
    <row r="709" customFormat="1" ht="15.75" customHeight="1" x14ac:dyDescent="0.35"/>
    <row r="710" customFormat="1" ht="15.75" customHeight="1" x14ac:dyDescent="0.35"/>
    <row r="711" customFormat="1" ht="15.75" customHeight="1" x14ac:dyDescent="0.35"/>
    <row r="712" customFormat="1" ht="15.75" customHeight="1" x14ac:dyDescent="0.35"/>
    <row r="713" customFormat="1" ht="15.75" customHeight="1" x14ac:dyDescent="0.35"/>
    <row r="714" customFormat="1" ht="15.75" customHeight="1" x14ac:dyDescent="0.35"/>
    <row r="715" customFormat="1" ht="15.75" customHeight="1" x14ac:dyDescent="0.35"/>
    <row r="716" customFormat="1" ht="15.75" customHeight="1" x14ac:dyDescent="0.35"/>
    <row r="717" customFormat="1" ht="15.75" customHeight="1" x14ac:dyDescent="0.35"/>
    <row r="718" customFormat="1" ht="15.75" customHeight="1" x14ac:dyDescent="0.35"/>
    <row r="719" customFormat="1" ht="15.75" customHeight="1" x14ac:dyDescent="0.35"/>
    <row r="720" customFormat="1" ht="15.75" customHeight="1" x14ac:dyDescent="0.35"/>
    <row r="721" customFormat="1" ht="15.75" customHeight="1" x14ac:dyDescent="0.35"/>
    <row r="722" customFormat="1" ht="15.75" customHeight="1" x14ac:dyDescent="0.35"/>
    <row r="723" customFormat="1" ht="15.75" customHeight="1" x14ac:dyDescent="0.35"/>
    <row r="724" customFormat="1" ht="15.75" customHeight="1" x14ac:dyDescent="0.35"/>
    <row r="725" customFormat="1" ht="15.75" customHeight="1" x14ac:dyDescent="0.35"/>
    <row r="726" customFormat="1" ht="15.75" customHeight="1" x14ac:dyDescent="0.35"/>
    <row r="727" customFormat="1" ht="15.75" customHeight="1" x14ac:dyDescent="0.35"/>
    <row r="728" customFormat="1" ht="15.75" customHeight="1" x14ac:dyDescent="0.35"/>
    <row r="729" customFormat="1" ht="15.75" customHeight="1" x14ac:dyDescent="0.35"/>
    <row r="730" customFormat="1" ht="15.75" customHeight="1" x14ac:dyDescent="0.35"/>
    <row r="731" customFormat="1" ht="15.75" customHeight="1" x14ac:dyDescent="0.35"/>
    <row r="732" customFormat="1" ht="15.75" customHeight="1" x14ac:dyDescent="0.35"/>
    <row r="733" customFormat="1" ht="15.75" customHeight="1" x14ac:dyDescent="0.35"/>
    <row r="734" customFormat="1" ht="15.75" customHeight="1" x14ac:dyDescent="0.35"/>
    <row r="735" customFormat="1" ht="15.75" customHeight="1" x14ac:dyDescent="0.35"/>
    <row r="736" customFormat="1" ht="15.75" customHeight="1" x14ac:dyDescent="0.35"/>
    <row r="737" customFormat="1" ht="15.75" customHeight="1" x14ac:dyDescent="0.35"/>
    <row r="738" customFormat="1" ht="15.75" customHeight="1" x14ac:dyDescent="0.35"/>
    <row r="739" customFormat="1" ht="15.75" customHeight="1" x14ac:dyDescent="0.35"/>
    <row r="740" customFormat="1" ht="15.75" customHeight="1" x14ac:dyDescent="0.35"/>
    <row r="741" customFormat="1" ht="15.75" customHeight="1" x14ac:dyDescent="0.35"/>
    <row r="742" customFormat="1" ht="15.75" customHeight="1" x14ac:dyDescent="0.35"/>
    <row r="743" customFormat="1" ht="15.75" customHeight="1" x14ac:dyDescent="0.35"/>
    <row r="744" customFormat="1" ht="15.75" customHeight="1" x14ac:dyDescent="0.35"/>
    <row r="745" customFormat="1" ht="15.75" customHeight="1" x14ac:dyDescent="0.35"/>
    <row r="746" customFormat="1" ht="15.75" customHeight="1" x14ac:dyDescent="0.35"/>
    <row r="747" customFormat="1" ht="15.75" customHeight="1" x14ac:dyDescent="0.35"/>
    <row r="748" customFormat="1" ht="15.75" customHeight="1" x14ac:dyDescent="0.35"/>
    <row r="749" customFormat="1" ht="15.75" customHeight="1" x14ac:dyDescent="0.35"/>
    <row r="750" customFormat="1" ht="15.75" customHeight="1" x14ac:dyDescent="0.35"/>
    <row r="751" customFormat="1" ht="15.75" customHeight="1" x14ac:dyDescent="0.35"/>
    <row r="752" customFormat="1" ht="15.75" customHeight="1" x14ac:dyDescent="0.35"/>
    <row r="753" customFormat="1" ht="15.75" customHeight="1" x14ac:dyDescent="0.35"/>
    <row r="754" customFormat="1" ht="15.75" customHeight="1" x14ac:dyDescent="0.35"/>
    <row r="755" customFormat="1" ht="15.75" customHeight="1" x14ac:dyDescent="0.35"/>
    <row r="756" customFormat="1" ht="15.75" customHeight="1" x14ac:dyDescent="0.35"/>
    <row r="757" customFormat="1" ht="15.75" customHeight="1" x14ac:dyDescent="0.35"/>
    <row r="758" customFormat="1" ht="15.75" customHeight="1" x14ac:dyDescent="0.35"/>
    <row r="759" customFormat="1" ht="15.75" customHeight="1" x14ac:dyDescent="0.35"/>
    <row r="760" customFormat="1" ht="15.75" customHeight="1" x14ac:dyDescent="0.35"/>
    <row r="761" customFormat="1" ht="15.75" customHeight="1" x14ac:dyDescent="0.35"/>
    <row r="762" customFormat="1" ht="15.75" customHeight="1" x14ac:dyDescent="0.35"/>
    <row r="763" customFormat="1" ht="15.75" customHeight="1" x14ac:dyDescent="0.35"/>
    <row r="764" customFormat="1" ht="15.75" customHeight="1" x14ac:dyDescent="0.35"/>
    <row r="765" customFormat="1" ht="15.75" customHeight="1" x14ac:dyDescent="0.35"/>
    <row r="766" customFormat="1" ht="15.75" customHeight="1" x14ac:dyDescent="0.35"/>
    <row r="767" customFormat="1" ht="15.75" customHeight="1" x14ac:dyDescent="0.35"/>
    <row r="768" customFormat="1" ht="15.75" customHeight="1" x14ac:dyDescent="0.35"/>
    <row r="769" customFormat="1" ht="15.75" customHeight="1" x14ac:dyDescent="0.35"/>
    <row r="770" customFormat="1" ht="15.75" customHeight="1" x14ac:dyDescent="0.35"/>
    <row r="771" customFormat="1" ht="15.75" customHeight="1" x14ac:dyDescent="0.35"/>
    <row r="772" customFormat="1" ht="15.75" customHeight="1" x14ac:dyDescent="0.35"/>
    <row r="773" customFormat="1" ht="15.75" customHeight="1" x14ac:dyDescent="0.35"/>
    <row r="774" customFormat="1" ht="15.75" customHeight="1" x14ac:dyDescent="0.35"/>
    <row r="775" customFormat="1" ht="15.75" customHeight="1" x14ac:dyDescent="0.35"/>
    <row r="776" customFormat="1" ht="15.75" customHeight="1" x14ac:dyDescent="0.35"/>
    <row r="777" customFormat="1" ht="15.75" customHeight="1" x14ac:dyDescent="0.35"/>
    <row r="778" customFormat="1" ht="15.75" customHeight="1" x14ac:dyDescent="0.35"/>
    <row r="779" customFormat="1" ht="15.75" customHeight="1" x14ac:dyDescent="0.35"/>
    <row r="780" customFormat="1" ht="15.75" customHeight="1" x14ac:dyDescent="0.35"/>
    <row r="781" customFormat="1" ht="15.75" customHeight="1" x14ac:dyDescent="0.35"/>
    <row r="782" customFormat="1" ht="15.75" customHeight="1" x14ac:dyDescent="0.35"/>
    <row r="783" customFormat="1" ht="15.75" customHeight="1" x14ac:dyDescent="0.35"/>
    <row r="784" customFormat="1" ht="15.75" customHeight="1" x14ac:dyDescent="0.35"/>
    <row r="785" customFormat="1" ht="15.75" customHeight="1" x14ac:dyDescent="0.35"/>
    <row r="786" customFormat="1" ht="15.75" customHeight="1" x14ac:dyDescent="0.35"/>
    <row r="787" customFormat="1" ht="15.75" customHeight="1" x14ac:dyDescent="0.35"/>
    <row r="788" customFormat="1" ht="15.75" customHeight="1" x14ac:dyDescent="0.35"/>
    <row r="789" customFormat="1" ht="15.75" customHeight="1" x14ac:dyDescent="0.35"/>
    <row r="790" customFormat="1" ht="15.75" customHeight="1" x14ac:dyDescent="0.35"/>
    <row r="791" customFormat="1" ht="15.75" customHeight="1" x14ac:dyDescent="0.35"/>
    <row r="792" customFormat="1" ht="15.75" customHeight="1" x14ac:dyDescent="0.35"/>
    <row r="793" customFormat="1" ht="15.75" customHeight="1" x14ac:dyDescent="0.35"/>
    <row r="794" customFormat="1" ht="15.75" customHeight="1" x14ac:dyDescent="0.35"/>
    <row r="795" customFormat="1" ht="15.75" customHeight="1" x14ac:dyDescent="0.35"/>
    <row r="796" customFormat="1" ht="15.75" customHeight="1" x14ac:dyDescent="0.35"/>
    <row r="797" customFormat="1" ht="15.75" customHeight="1" x14ac:dyDescent="0.35"/>
    <row r="798" customFormat="1" ht="15.75" customHeight="1" x14ac:dyDescent="0.35"/>
    <row r="799" customFormat="1" ht="15.75" customHeight="1" x14ac:dyDescent="0.35"/>
    <row r="800" customFormat="1" ht="15.75" customHeight="1" x14ac:dyDescent="0.35"/>
    <row r="801" customFormat="1" ht="15.75" customHeight="1" x14ac:dyDescent="0.35"/>
    <row r="802" customFormat="1" ht="15.75" customHeight="1" x14ac:dyDescent="0.35"/>
    <row r="803" customFormat="1" ht="15.75" customHeight="1" x14ac:dyDescent="0.35"/>
    <row r="804" customFormat="1" ht="15.75" customHeight="1" x14ac:dyDescent="0.35"/>
    <row r="805" customFormat="1" ht="15.75" customHeight="1" x14ac:dyDescent="0.35"/>
    <row r="806" customFormat="1" ht="15.75" customHeight="1" x14ac:dyDescent="0.35"/>
    <row r="807" customFormat="1" ht="15.75" customHeight="1" x14ac:dyDescent="0.35"/>
    <row r="808" customFormat="1" ht="15.75" customHeight="1" x14ac:dyDescent="0.35"/>
    <row r="809" customFormat="1" ht="15.75" customHeight="1" x14ac:dyDescent="0.35"/>
    <row r="810" customFormat="1" ht="15.75" customHeight="1" x14ac:dyDescent="0.35"/>
    <row r="811" customFormat="1" ht="15.75" customHeight="1" x14ac:dyDescent="0.35"/>
    <row r="812" customFormat="1" ht="15.75" customHeight="1" x14ac:dyDescent="0.35"/>
    <row r="813" customFormat="1" ht="15.75" customHeight="1" x14ac:dyDescent="0.35"/>
    <row r="814" customFormat="1" ht="15.75" customHeight="1" x14ac:dyDescent="0.35"/>
    <row r="815" customFormat="1" ht="15.75" customHeight="1" x14ac:dyDescent="0.35"/>
    <row r="816" customFormat="1" ht="15.75" customHeight="1" x14ac:dyDescent="0.35"/>
    <row r="817" customFormat="1" ht="15.75" customHeight="1" x14ac:dyDescent="0.35"/>
    <row r="818" customFormat="1" ht="15.75" customHeight="1" x14ac:dyDescent="0.35"/>
    <row r="819" customFormat="1" ht="15.75" customHeight="1" x14ac:dyDescent="0.35"/>
    <row r="820" customFormat="1" ht="15.75" customHeight="1" x14ac:dyDescent="0.35"/>
    <row r="821" customFormat="1" ht="15.75" customHeight="1" x14ac:dyDescent="0.35"/>
    <row r="822" customFormat="1" ht="15.75" customHeight="1" x14ac:dyDescent="0.35"/>
    <row r="823" customFormat="1" ht="15.75" customHeight="1" x14ac:dyDescent="0.35"/>
    <row r="824" customFormat="1" ht="15.75" customHeight="1" x14ac:dyDescent="0.35"/>
    <row r="825" customFormat="1" ht="15.75" customHeight="1" x14ac:dyDescent="0.35"/>
    <row r="826" customFormat="1" ht="15.75" customHeight="1" x14ac:dyDescent="0.35"/>
    <row r="827" customFormat="1" ht="15.75" customHeight="1" x14ac:dyDescent="0.35"/>
    <row r="828" customFormat="1" ht="15.75" customHeight="1" x14ac:dyDescent="0.35"/>
    <row r="829" customFormat="1" ht="15.75" customHeight="1" x14ac:dyDescent="0.35"/>
    <row r="830" customFormat="1" ht="15.75" customHeight="1" x14ac:dyDescent="0.35"/>
    <row r="831" customFormat="1" ht="15.75" customHeight="1" x14ac:dyDescent="0.35"/>
    <row r="832" customFormat="1" ht="15.75" customHeight="1" x14ac:dyDescent="0.35"/>
    <row r="833" customFormat="1" ht="15.75" customHeight="1" x14ac:dyDescent="0.35"/>
    <row r="834" customFormat="1" ht="15.75" customHeight="1" x14ac:dyDescent="0.35"/>
    <row r="835" customFormat="1" ht="15.75" customHeight="1" x14ac:dyDescent="0.35"/>
    <row r="836" customFormat="1" ht="15.75" customHeight="1" x14ac:dyDescent="0.35"/>
    <row r="837" customFormat="1" ht="15.75" customHeight="1" x14ac:dyDescent="0.35"/>
    <row r="838" customFormat="1" ht="15.75" customHeight="1" x14ac:dyDescent="0.35"/>
    <row r="839" customFormat="1" ht="15.75" customHeight="1" x14ac:dyDescent="0.35"/>
    <row r="840" customFormat="1" ht="15.75" customHeight="1" x14ac:dyDescent="0.35"/>
    <row r="841" customFormat="1" ht="15.75" customHeight="1" x14ac:dyDescent="0.35"/>
    <row r="842" customFormat="1" ht="15.75" customHeight="1" x14ac:dyDescent="0.35"/>
    <row r="843" customFormat="1" ht="15.75" customHeight="1" x14ac:dyDescent="0.35"/>
    <row r="844" customFormat="1" ht="15.75" customHeight="1" x14ac:dyDescent="0.35"/>
    <row r="845" customFormat="1" ht="15.75" customHeight="1" x14ac:dyDescent="0.35"/>
    <row r="846" customFormat="1" ht="15.75" customHeight="1" x14ac:dyDescent="0.35"/>
    <row r="847" customFormat="1" ht="15.75" customHeight="1" x14ac:dyDescent="0.35"/>
    <row r="848" customFormat="1" ht="15.75" customHeight="1" x14ac:dyDescent="0.35"/>
    <row r="849" customFormat="1" ht="15.75" customHeight="1" x14ac:dyDescent="0.35"/>
    <row r="850" customFormat="1" ht="15.75" customHeight="1" x14ac:dyDescent="0.35"/>
    <row r="851" customFormat="1" ht="15.75" customHeight="1" x14ac:dyDescent="0.35"/>
    <row r="852" customFormat="1" ht="15.75" customHeight="1" x14ac:dyDescent="0.35"/>
    <row r="853" customFormat="1" ht="15.75" customHeight="1" x14ac:dyDescent="0.35"/>
    <row r="854" customFormat="1" ht="15.75" customHeight="1" x14ac:dyDescent="0.35"/>
    <row r="855" customFormat="1" ht="15.75" customHeight="1" x14ac:dyDescent="0.35"/>
    <row r="856" customFormat="1" ht="15.75" customHeight="1" x14ac:dyDescent="0.35"/>
    <row r="857" customFormat="1" ht="15.75" customHeight="1" x14ac:dyDescent="0.35"/>
    <row r="858" customFormat="1" ht="15.75" customHeight="1" x14ac:dyDescent="0.35"/>
    <row r="859" customFormat="1" ht="15.75" customHeight="1" x14ac:dyDescent="0.35"/>
    <row r="860" customFormat="1" ht="15.75" customHeight="1" x14ac:dyDescent="0.35"/>
    <row r="861" customFormat="1" ht="15.75" customHeight="1" x14ac:dyDescent="0.35"/>
    <row r="862" customFormat="1" ht="15.75" customHeight="1" x14ac:dyDescent="0.35"/>
    <row r="863" customFormat="1" ht="15.75" customHeight="1" x14ac:dyDescent="0.35"/>
    <row r="864" customFormat="1" ht="15.75" customHeight="1" x14ac:dyDescent="0.35"/>
    <row r="865" customFormat="1" ht="15.75" customHeight="1" x14ac:dyDescent="0.35"/>
    <row r="866" customFormat="1" ht="15.75" customHeight="1" x14ac:dyDescent="0.35"/>
    <row r="867" customFormat="1" ht="15.75" customHeight="1" x14ac:dyDescent="0.35"/>
    <row r="868" customFormat="1" ht="15.75" customHeight="1" x14ac:dyDescent="0.35"/>
    <row r="869" customFormat="1" ht="15.75" customHeight="1" x14ac:dyDescent="0.35"/>
    <row r="870" customFormat="1" ht="15.75" customHeight="1" x14ac:dyDescent="0.35"/>
    <row r="871" customFormat="1" ht="15.75" customHeight="1" x14ac:dyDescent="0.35"/>
    <row r="872" customFormat="1" ht="15.75" customHeight="1" x14ac:dyDescent="0.35"/>
    <row r="873" customFormat="1" ht="15.75" customHeight="1" x14ac:dyDescent="0.35"/>
    <row r="874" customFormat="1" ht="15.75" customHeight="1" x14ac:dyDescent="0.35"/>
    <row r="875" customFormat="1" ht="15.75" customHeight="1" x14ac:dyDescent="0.35"/>
    <row r="876" customFormat="1" ht="15.75" customHeight="1" x14ac:dyDescent="0.35"/>
    <row r="877" customFormat="1" ht="15.75" customHeight="1" x14ac:dyDescent="0.35"/>
    <row r="878" customFormat="1" ht="15.75" customHeight="1" x14ac:dyDescent="0.35"/>
    <row r="879" customFormat="1" ht="15.75" customHeight="1" x14ac:dyDescent="0.35"/>
    <row r="880" customFormat="1" ht="15.75" customHeight="1" x14ac:dyDescent="0.35"/>
    <row r="881" customFormat="1" ht="15.75" customHeight="1" x14ac:dyDescent="0.35"/>
    <row r="882" customFormat="1" ht="15.75" customHeight="1" x14ac:dyDescent="0.35"/>
    <row r="883" customFormat="1" ht="15.75" customHeight="1" x14ac:dyDescent="0.35"/>
    <row r="884" customFormat="1" ht="15.75" customHeight="1" x14ac:dyDescent="0.35"/>
    <row r="885" customFormat="1" ht="15.75" customHeight="1" x14ac:dyDescent="0.35"/>
    <row r="886" customFormat="1" ht="15.75" customHeight="1" x14ac:dyDescent="0.35"/>
    <row r="887" customFormat="1" ht="15.75" customHeight="1" x14ac:dyDescent="0.35"/>
    <row r="888" customFormat="1" ht="15.75" customHeight="1" x14ac:dyDescent="0.35"/>
    <row r="889" customFormat="1" ht="15.75" customHeight="1" x14ac:dyDescent="0.35"/>
    <row r="890" customFormat="1" ht="15.75" customHeight="1" x14ac:dyDescent="0.35"/>
    <row r="891" customFormat="1" ht="15.75" customHeight="1" x14ac:dyDescent="0.35"/>
    <row r="892" customFormat="1" ht="15.75" customHeight="1" x14ac:dyDescent="0.35"/>
    <row r="893" customFormat="1" ht="15.75" customHeight="1" x14ac:dyDescent="0.35"/>
    <row r="894" customFormat="1" ht="15.75" customHeight="1" x14ac:dyDescent="0.35"/>
    <row r="895" customFormat="1" ht="15.75" customHeight="1" x14ac:dyDescent="0.35"/>
    <row r="896" customFormat="1" ht="15.75" customHeight="1" x14ac:dyDescent="0.35"/>
    <row r="897" customFormat="1" ht="15.75" customHeight="1" x14ac:dyDescent="0.35"/>
    <row r="898" customFormat="1" ht="15.75" customHeight="1" x14ac:dyDescent="0.35"/>
    <row r="899" customFormat="1" ht="15.75" customHeight="1" x14ac:dyDescent="0.35"/>
    <row r="900" customFormat="1" ht="15.75" customHeight="1" x14ac:dyDescent="0.35"/>
    <row r="901" customFormat="1" ht="15.75" customHeight="1" x14ac:dyDescent="0.35"/>
    <row r="902" customFormat="1" ht="15.75" customHeight="1" x14ac:dyDescent="0.35"/>
    <row r="903" customFormat="1" ht="15.75" customHeight="1" x14ac:dyDescent="0.35"/>
    <row r="904" customFormat="1" ht="15.75" customHeight="1" x14ac:dyDescent="0.35"/>
    <row r="905" customFormat="1" ht="15.75" customHeight="1" x14ac:dyDescent="0.35"/>
    <row r="906" customFormat="1" ht="15.75" customHeight="1" x14ac:dyDescent="0.35"/>
    <row r="907" customFormat="1" ht="15.75" customHeight="1" x14ac:dyDescent="0.35"/>
    <row r="908" customFormat="1" ht="15.75" customHeight="1" x14ac:dyDescent="0.35"/>
    <row r="909" customFormat="1" ht="15.75" customHeight="1" x14ac:dyDescent="0.35"/>
    <row r="910" customFormat="1" ht="15.75" customHeight="1" x14ac:dyDescent="0.35"/>
    <row r="911" customFormat="1" ht="15.75" customHeight="1" x14ac:dyDescent="0.35"/>
    <row r="912" customFormat="1" ht="15.75" customHeight="1" x14ac:dyDescent="0.35"/>
    <row r="913" customFormat="1" ht="15.75" customHeight="1" x14ac:dyDescent="0.35"/>
    <row r="914" customFormat="1" ht="15.75" customHeight="1" x14ac:dyDescent="0.35"/>
    <row r="915" customFormat="1" ht="15.75" customHeight="1" x14ac:dyDescent="0.35"/>
    <row r="916" customFormat="1" ht="15.75" customHeight="1" x14ac:dyDescent="0.35"/>
    <row r="917" customFormat="1" ht="15.75" customHeight="1" x14ac:dyDescent="0.35"/>
    <row r="918" customFormat="1" ht="15.75" customHeight="1" x14ac:dyDescent="0.35"/>
    <row r="919" customFormat="1" ht="15.75" customHeight="1" x14ac:dyDescent="0.35"/>
    <row r="920" customFormat="1" ht="15.75" customHeight="1" x14ac:dyDescent="0.35"/>
    <row r="921" customFormat="1" ht="15.75" customHeight="1" x14ac:dyDescent="0.35"/>
    <row r="922" customFormat="1" ht="15.75" customHeight="1" x14ac:dyDescent="0.35"/>
    <row r="923" customFormat="1" ht="15.75" customHeight="1" x14ac:dyDescent="0.35"/>
    <row r="924" customFormat="1" ht="15.75" customHeight="1" x14ac:dyDescent="0.35"/>
    <row r="925" customFormat="1" ht="15.75" customHeight="1" x14ac:dyDescent="0.35"/>
    <row r="926" customFormat="1" ht="15.75" customHeight="1" x14ac:dyDescent="0.35"/>
    <row r="927" customFormat="1" ht="15.75" customHeight="1" x14ac:dyDescent="0.35"/>
    <row r="928" customFormat="1" ht="15.75" customHeight="1" x14ac:dyDescent="0.35"/>
    <row r="929" customFormat="1" ht="15.75" customHeight="1" x14ac:dyDescent="0.35"/>
    <row r="930" customFormat="1" ht="15.75" customHeight="1" x14ac:dyDescent="0.35"/>
    <row r="931" customFormat="1" ht="15.75" customHeight="1" x14ac:dyDescent="0.35"/>
    <row r="932" customFormat="1" ht="15.75" customHeight="1" x14ac:dyDescent="0.35"/>
    <row r="933" customFormat="1" ht="15.75" customHeight="1" x14ac:dyDescent="0.35"/>
    <row r="934" customFormat="1" ht="15.75" customHeight="1" x14ac:dyDescent="0.35"/>
    <row r="935" customFormat="1" ht="15.75" customHeight="1" x14ac:dyDescent="0.35"/>
    <row r="936" customFormat="1" ht="15.75" customHeight="1" x14ac:dyDescent="0.35"/>
    <row r="937" customFormat="1" ht="15.75" customHeight="1" x14ac:dyDescent="0.35"/>
    <row r="938" customFormat="1" ht="15.75" customHeight="1" x14ac:dyDescent="0.35"/>
    <row r="939" customFormat="1" ht="15.75" customHeight="1" x14ac:dyDescent="0.35"/>
    <row r="940" customFormat="1" ht="15.75" customHeight="1" x14ac:dyDescent="0.35"/>
    <row r="941" customFormat="1" ht="15.75" customHeight="1" x14ac:dyDescent="0.35"/>
    <row r="942" customFormat="1" ht="15.75" customHeight="1" x14ac:dyDescent="0.35"/>
    <row r="943" customFormat="1" ht="15.75" customHeight="1" x14ac:dyDescent="0.35"/>
    <row r="944" customFormat="1" ht="15.75" customHeight="1" x14ac:dyDescent="0.35"/>
    <row r="945" customFormat="1" ht="15.75" customHeight="1" x14ac:dyDescent="0.35"/>
    <row r="946" customFormat="1" ht="15.75" customHeight="1" x14ac:dyDescent="0.35"/>
    <row r="947" customFormat="1" ht="15.75" customHeight="1" x14ac:dyDescent="0.35"/>
    <row r="948" customFormat="1" ht="15.75" customHeight="1" x14ac:dyDescent="0.35"/>
    <row r="949" customFormat="1" ht="15.75" customHeight="1" x14ac:dyDescent="0.35"/>
    <row r="950" customFormat="1" ht="15.75" customHeight="1" x14ac:dyDescent="0.35"/>
    <row r="951" customFormat="1" ht="15.75" customHeight="1" x14ac:dyDescent="0.35"/>
    <row r="952" customFormat="1" ht="15.75" customHeight="1" x14ac:dyDescent="0.35"/>
    <row r="953" customFormat="1" ht="15.75" customHeight="1" x14ac:dyDescent="0.35"/>
    <row r="954" customFormat="1" ht="15.75" customHeight="1" x14ac:dyDescent="0.35"/>
    <row r="955" customFormat="1" ht="15.75" customHeight="1" x14ac:dyDescent="0.35"/>
    <row r="956" customFormat="1" ht="15.75" customHeight="1" x14ac:dyDescent="0.35"/>
    <row r="957" customFormat="1" ht="15.75" customHeight="1" x14ac:dyDescent="0.35"/>
    <row r="958" customFormat="1" ht="15.75" customHeight="1" x14ac:dyDescent="0.35"/>
    <row r="959" customFormat="1" ht="15.75" customHeight="1" x14ac:dyDescent="0.35"/>
    <row r="960" customFormat="1" ht="15.75" customHeight="1" x14ac:dyDescent="0.35"/>
    <row r="961" customFormat="1" ht="15.75" customHeight="1" x14ac:dyDescent="0.35"/>
    <row r="962" customFormat="1" ht="15.75" customHeight="1" x14ac:dyDescent="0.35"/>
    <row r="963" customFormat="1" ht="15.75" customHeight="1" x14ac:dyDescent="0.35"/>
    <row r="964" customFormat="1" ht="15.75" customHeight="1" x14ac:dyDescent="0.35"/>
    <row r="965" customFormat="1" ht="15.75" customHeight="1" x14ac:dyDescent="0.35"/>
    <row r="966" customFormat="1" ht="15.75" customHeight="1" x14ac:dyDescent="0.35"/>
    <row r="967" customFormat="1" ht="15.75" customHeight="1" x14ac:dyDescent="0.35"/>
    <row r="968" customFormat="1" ht="15.75" customHeight="1" x14ac:dyDescent="0.35"/>
    <row r="969" customFormat="1" ht="15.75" customHeight="1" x14ac:dyDescent="0.35"/>
    <row r="970" customFormat="1" ht="15.75" customHeight="1" x14ac:dyDescent="0.35"/>
    <row r="971" customFormat="1" ht="15.75" customHeight="1" x14ac:dyDescent="0.35"/>
    <row r="972" customFormat="1" ht="15.75" customHeight="1" x14ac:dyDescent="0.35"/>
    <row r="973" customFormat="1" ht="15.75" customHeight="1" x14ac:dyDescent="0.35"/>
    <row r="974" customFormat="1" ht="15.75" customHeight="1" x14ac:dyDescent="0.35"/>
    <row r="975" customFormat="1" ht="15.75" customHeight="1" x14ac:dyDescent="0.35"/>
    <row r="976" customFormat="1" ht="15.75" customHeight="1" x14ac:dyDescent="0.35"/>
    <row r="977" customFormat="1" ht="15.75" customHeight="1" x14ac:dyDescent="0.35"/>
    <row r="978" customFormat="1" ht="15.75" customHeight="1" x14ac:dyDescent="0.35"/>
    <row r="979" customFormat="1" ht="15.75" customHeight="1" x14ac:dyDescent="0.35"/>
    <row r="980" customFormat="1" ht="15.75" customHeight="1" x14ac:dyDescent="0.35"/>
    <row r="981" customFormat="1" ht="15.75" customHeight="1" x14ac:dyDescent="0.35"/>
    <row r="982" customFormat="1" ht="15.75" customHeight="1" x14ac:dyDescent="0.35"/>
    <row r="983" customFormat="1" ht="15.75" customHeight="1" x14ac:dyDescent="0.35"/>
    <row r="984" customFormat="1" ht="15.75" customHeight="1" x14ac:dyDescent="0.35"/>
    <row r="985" customFormat="1" ht="15.75" customHeight="1" x14ac:dyDescent="0.35"/>
    <row r="986" customFormat="1" ht="15.75" customHeight="1" x14ac:dyDescent="0.35"/>
    <row r="987" customFormat="1" ht="15.75" customHeight="1" x14ac:dyDescent="0.35"/>
    <row r="988" customFormat="1" ht="15.75" customHeight="1" x14ac:dyDescent="0.35"/>
    <row r="989" customFormat="1" ht="15.75" customHeight="1" x14ac:dyDescent="0.35"/>
    <row r="990" customFormat="1" ht="15.75" customHeight="1" x14ac:dyDescent="0.35"/>
    <row r="991" customFormat="1" ht="15.75" customHeight="1" x14ac:dyDescent="0.35"/>
    <row r="992" customFormat="1" ht="15.75" customHeight="1" x14ac:dyDescent="0.35"/>
    <row r="993" customFormat="1" ht="15.75" customHeight="1" x14ac:dyDescent="0.35"/>
    <row r="994" customFormat="1" ht="15.75" customHeight="1" x14ac:dyDescent="0.35"/>
    <row r="995" customFormat="1" ht="15.75" customHeight="1" x14ac:dyDescent="0.35"/>
    <row r="996" customFormat="1" ht="15.75" customHeight="1" x14ac:dyDescent="0.35"/>
    <row r="997" customFormat="1" ht="15.75" customHeight="1" x14ac:dyDescent="0.35"/>
    <row r="998" customFormat="1" ht="15.75" customHeight="1" x14ac:dyDescent="0.35"/>
    <row r="999" customFormat="1" ht="15.75" customHeight="1" x14ac:dyDescent="0.35"/>
    <row r="1000" customFormat="1" ht="15.75" customHeight="1" x14ac:dyDescent="0.35"/>
    <row r="1001" customFormat="1" ht="15.75" customHeight="1" x14ac:dyDescent="0.35"/>
    <row r="1002" customFormat="1" ht="15.75" customHeight="1" x14ac:dyDescent="0.35"/>
    <row r="1003" customFormat="1" ht="15.75" customHeight="1" x14ac:dyDescent="0.35"/>
    <row r="1004" customFormat="1" ht="15.75" customHeight="1" x14ac:dyDescent="0.35"/>
    <row r="1005" customFormat="1" ht="15.75" customHeight="1" x14ac:dyDescent="0.35"/>
    <row r="1006" customFormat="1" ht="15.75" customHeight="1" x14ac:dyDescent="0.35"/>
    <row r="1007" customFormat="1" ht="15.75" customHeight="1" x14ac:dyDescent="0.35"/>
    <row r="1008" customFormat="1" ht="15.75" customHeight="1" x14ac:dyDescent="0.35"/>
    <row r="1009" customFormat="1" ht="15.75" customHeight="1" x14ac:dyDescent="0.35"/>
    <row r="1010" customFormat="1" ht="15.75" customHeight="1" x14ac:dyDescent="0.35"/>
    <row r="1011" customFormat="1" ht="15.75" customHeight="1" x14ac:dyDescent="0.35"/>
    <row r="1012" customFormat="1" ht="15.7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D38FF-54FB-44DC-8D77-B5405C05C290}">
  <dimension ref="A1:H36"/>
  <sheetViews>
    <sheetView topLeftCell="A19" workbookViewId="0">
      <selection activeCell="C4" sqref="C4"/>
    </sheetView>
  </sheetViews>
  <sheetFormatPr defaultColWidth="14.453125" defaultRowHeight="14.5" x14ac:dyDescent="0.35"/>
  <cols>
    <col min="2" max="2" width="27.81640625" customWidth="1"/>
    <col min="3" max="3" width="24.08984375" customWidth="1"/>
    <col min="4" max="7" width="21.26953125" customWidth="1"/>
  </cols>
  <sheetData>
    <row r="1" spans="1:8" ht="18.5" x14ac:dyDescent="0.45">
      <c r="A1" s="44" t="s">
        <v>139</v>
      </c>
      <c r="B1" s="45"/>
      <c r="C1" s="45"/>
      <c r="D1" s="45"/>
      <c r="E1" s="45"/>
      <c r="F1" s="45"/>
      <c r="G1" s="45"/>
      <c r="H1" s="45"/>
    </row>
    <row r="2" spans="1:8" x14ac:dyDescent="0.35">
      <c r="A2" s="46" t="s">
        <v>140</v>
      </c>
      <c r="B2" s="63" t="s">
        <v>141</v>
      </c>
      <c r="C2" s="63"/>
      <c r="D2" s="46"/>
    </row>
    <row r="3" spans="1:8" ht="58" x14ac:dyDescent="0.35">
      <c r="A3" s="46"/>
      <c r="B3" s="13" t="s">
        <v>142</v>
      </c>
      <c r="C3" s="48">
        <f>'[1]General Company Info'!C30</f>
        <v>12010199</v>
      </c>
      <c r="D3" s="13" t="s">
        <v>45</v>
      </c>
      <c r="E3" s="49" t="s">
        <v>143</v>
      </c>
      <c r="F3" s="50" t="s">
        <v>144</v>
      </c>
      <c r="G3" s="50" t="s">
        <v>145</v>
      </c>
      <c r="H3" s="46"/>
    </row>
    <row r="4" spans="1:8" x14ac:dyDescent="0.35">
      <c r="A4" s="46"/>
      <c r="B4" s="13" t="s">
        <v>146</v>
      </c>
      <c r="C4" s="48">
        <f>'[1]General Company Info'!C31</f>
        <v>1392598</v>
      </c>
      <c r="D4" s="13" t="s">
        <v>47</v>
      </c>
      <c r="E4" s="5">
        <f>'[1]Scope 1 &amp; 2 GHG Factors'!B8</f>
        <v>1.8868</v>
      </c>
      <c r="F4" s="51">
        <f>C3*E4</f>
        <v>22660843.473200001</v>
      </c>
      <c r="G4" s="51">
        <f t="shared" ref="G4:G5" si="0">F4/1000</f>
        <v>22660.843473200002</v>
      </c>
      <c r="H4" s="46"/>
    </row>
    <row r="5" spans="1:8" x14ac:dyDescent="0.35">
      <c r="A5" s="46"/>
      <c r="B5" s="47"/>
      <c r="C5" s="47"/>
      <c r="D5" s="52"/>
      <c r="E5" s="5">
        <f>'[1]Scope 1 &amp; 2 GHG Factors'!B5</f>
        <v>2.6856599999999999</v>
      </c>
      <c r="F5" s="51">
        <f>C4*E5</f>
        <v>3740044.74468</v>
      </c>
      <c r="G5" s="51">
        <f t="shared" si="0"/>
        <v>3740.0447446799999</v>
      </c>
      <c r="H5" s="46"/>
    </row>
    <row r="6" spans="1:8" x14ac:dyDescent="0.35">
      <c r="A6" s="46" t="s">
        <v>147</v>
      </c>
      <c r="B6" s="63" t="s">
        <v>148</v>
      </c>
      <c r="C6" s="63"/>
      <c r="D6" s="52"/>
      <c r="E6" s="46"/>
      <c r="F6" s="46"/>
      <c r="G6" s="53">
        <f>G4+G5</f>
        <v>26400.888217880001</v>
      </c>
      <c r="H6" s="54" t="s">
        <v>149</v>
      </c>
    </row>
    <row r="7" spans="1:8" ht="58" x14ac:dyDescent="0.35">
      <c r="A7" s="46"/>
      <c r="B7" s="13" t="s">
        <v>150</v>
      </c>
      <c r="C7" s="22"/>
      <c r="D7" s="13"/>
      <c r="E7" s="49" t="s">
        <v>143</v>
      </c>
      <c r="F7" s="50" t="s">
        <v>144</v>
      </c>
      <c r="G7" s="50" t="s">
        <v>145</v>
      </c>
      <c r="H7" s="55"/>
    </row>
    <row r="8" spans="1:8" x14ac:dyDescent="0.35">
      <c r="A8" s="46"/>
      <c r="B8" s="18" t="s">
        <v>49</v>
      </c>
      <c r="C8" s="48">
        <f>'[1]General Company Info'!C33</f>
        <v>150500</v>
      </c>
      <c r="D8" s="13" t="s">
        <v>50</v>
      </c>
      <c r="E8" s="2"/>
      <c r="F8" s="2"/>
      <c r="G8" s="2"/>
      <c r="H8" s="46"/>
    </row>
    <row r="9" spans="1:8" x14ac:dyDescent="0.35">
      <c r="A9" s="46"/>
      <c r="B9" s="18" t="s">
        <v>51</v>
      </c>
      <c r="C9" s="48">
        <f>'[1]General Company Info'!C34</f>
        <v>215000</v>
      </c>
      <c r="D9" s="13" t="s">
        <v>50</v>
      </c>
      <c r="E9" s="21">
        <f>'[1]Scope 1 &amp; 2 GHG Factors'!G23</f>
        <v>735.45033599999999</v>
      </c>
      <c r="F9" s="51">
        <f>E9*C8</f>
        <v>110685275.568</v>
      </c>
      <c r="G9" s="51">
        <f t="shared" ref="G9:G13" si="1">F9/1000</f>
        <v>110685.275568</v>
      </c>
      <c r="H9" s="46"/>
    </row>
    <row r="10" spans="1:8" x14ac:dyDescent="0.35">
      <c r="A10" s="46"/>
      <c r="B10" s="18" t="s">
        <v>52</v>
      </c>
      <c r="C10" s="48">
        <f>'[1]General Company Info'!C35</f>
        <v>50500</v>
      </c>
      <c r="D10" s="13" t="s">
        <v>50</v>
      </c>
      <c r="E10" s="21">
        <f>'[1]Scope 1 &amp; 2 GHG Factors'!G43</f>
        <v>436.64073599999995</v>
      </c>
      <c r="F10" s="51">
        <f>E10*C9</f>
        <v>93877758.239999995</v>
      </c>
      <c r="G10" s="51">
        <f t="shared" si="1"/>
        <v>93877.758239999996</v>
      </c>
      <c r="H10" s="46"/>
    </row>
    <row r="11" spans="1:8" x14ac:dyDescent="0.35">
      <c r="A11" s="46"/>
      <c r="B11" s="18" t="s">
        <v>53</v>
      </c>
      <c r="C11" s="48">
        <f>'[1]General Company Info'!C36</f>
        <v>179500</v>
      </c>
      <c r="D11" s="13" t="s">
        <v>50</v>
      </c>
      <c r="E11" s="21">
        <f>'[1]Scope 1 &amp; 2 GHG Factors'!G70</f>
        <v>516.50379294390905</v>
      </c>
      <c r="F11" s="51">
        <f>E11*C10</f>
        <v>26083441.543667406</v>
      </c>
      <c r="G11" s="51">
        <f t="shared" si="1"/>
        <v>26083.441543667406</v>
      </c>
      <c r="H11" s="46"/>
    </row>
    <row r="12" spans="1:8" x14ac:dyDescent="0.35">
      <c r="A12" s="46"/>
      <c r="B12" s="18" t="s">
        <v>54</v>
      </c>
      <c r="C12" s="48">
        <f>'[1]General Company Info'!C37</f>
        <v>45500</v>
      </c>
      <c r="D12" s="13" t="s">
        <v>50</v>
      </c>
      <c r="E12" s="21">
        <f>'[1]Scope 1 &amp; 2 GHG Factors'!G31</f>
        <v>75.928415999999999</v>
      </c>
      <c r="F12" s="51">
        <f>E12*C11</f>
        <v>13629150.672</v>
      </c>
      <c r="G12" s="51">
        <f t="shared" si="1"/>
        <v>13629.150672</v>
      </c>
      <c r="H12" s="46"/>
    </row>
    <row r="13" spans="1:8" x14ac:dyDescent="0.35">
      <c r="A13" s="46"/>
      <c r="B13" s="47"/>
      <c r="C13" s="47"/>
      <c r="D13" s="46"/>
      <c r="E13" s="21">
        <f>'[1]Scope 1 &amp; 2 GHG Factors'!G57</f>
        <v>889.47532799999999</v>
      </c>
      <c r="F13" s="51">
        <f>E13*C12</f>
        <v>40471127.424000002</v>
      </c>
      <c r="G13" s="51">
        <f t="shared" si="1"/>
        <v>40471.127424000006</v>
      </c>
      <c r="H13" s="46"/>
    </row>
    <row r="14" spans="1:8" x14ac:dyDescent="0.35">
      <c r="A14" s="46" t="s">
        <v>151</v>
      </c>
      <c r="B14" s="47" t="s">
        <v>152</v>
      </c>
      <c r="C14" s="47"/>
      <c r="D14" s="46"/>
      <c r="E14" s="56"/>
      <c r="F14" s="46"/>
      <c r="G14" s="53">
        <f>SUM(G9:G13)</f>
        <v>284746.75344766735</v>
      </c>
      <c r="H14" s="54" t="s">
        <v>153</v>
      </c>
    </row>
    <row r="15" spans="1:8" ht="29" x14ac:dyDescent="0.35">
      <c r="A15" s="46"/>
      <c r="B15" s="13" t="s">
        <v>154</v>
      </c>
      <c r="C15" s="23">
        <f>'[1]General Company Info'!C23</f>
        <v>1200000000</v>
      </c>
      <c r="D15" s="2" t="s">
        <v>33</v>
      </c>
      <c r="E15" s="56" t="s">
        <v>143</v>
      </c>
      <c r="F15" s="50" t="s">
        <v>144</v>
      </c>
      <c r="G15" s="50" t="s">
        <v>145</v>
      </c>
      <c r="H15" s="46"/>
    </row>
    <row r="16" spans="1:8" x14ac:dyDescent="0.35">
      <c r="A16" s="46"/>
      <c r="B16" s="13" t="s">
        <v>155</v>
      </c>
      <c r="C16" s="23">
        <f>'[1]General Company Info'!C24</f>
        <v>100000000</v>
      </c>
      <c r="D16" s="2" t="s">
        <v>33</v>
      </c>
      <c r="E16" s="5">
        <f>'[1]General Company Info'!E23</f>
        <v>1.1639999999999999</v>
      </c>
      <c r="F16" s="51">
        <f>E16*C15</f>
        <v>1396800000</v>
      </c>
      <c r="G16" s="51">
        <f t="shared" ref="G16:G18" si="2">F16/1000</f>
        <v>1396800</v>
      </c>
      <c r="H16" s="46"/>
    </row>
    <row r="17" spans="1:8" x14ac:dyDescent="0.35">
      <c r="A17" s="46"/>
      <c r="B17" s="13" t="s">
        <v>156</v>
      </c>
      <c r="C17" s="23">
        <f>'[1]General Company Info'!C25</f>
        <v>20000000</v>
      </c>
      <c r="D17" s="2" t="s">
        <v>33</v>
      </c>
      <c r="E17" s="5">
        <f>'[1]General Company Info'!E24</f>
        <v>0.11700000000000001</v>
      </c>
      <c r="F17" s="51">
        <f>E17*C16</f>
        <v>11700000</v>
      </c>
      <c r="G17" s="51">
        <f t="shared" si="2"/>
        <v>11700</v>
      </c>
      <c r="H17" s="46"/>
    </row>
    <row r="18" spans="1:8" x14ac:dyDescent="0.35">
      <c r="A18" s="46"/>
      <c r="B18" s="47"/>
      <c r="C18" s="47"/>
      <c r="D18" s="46"/>
      <c r="E18" s="5">
        <f>'[1]General Company Info'!E25</f>
        <v>8.5999999999999993E-2</v>
      </c>
      <c r="F18" s="51">
        <f>E18*C17</f>
        <v>1719999.9999999998</v>
      </c>
      <c r="G18" s="51">
        <f t="shared" si="2"/>
        <v>1719.9999999999998</v>
      </c>
      <c r="H18" s="46"/>
    </row>
    <row r="19" spans="1:8" x14ac:dyDescent="0.35">
      <c r="A19" s="46" t="s">
        <v>157</v>
      </c>
      <c r="B19" s="47" t="s">
        <v>158</v>
      </c>
      <c r="C19" s="47"/>
      <c r="D19" s="46"/>
      <c r="E19" s="56"/>
      <c r="F19" s="46"/>
      <c r="G19" s="53">
        <f>SUM(G16:G18)</f>
        <v>1410220</v>
      </c>
      <c r="H19" s="54" t="s">
        <v>159</v>
      </c>
    </row>
    <row r="20" spans="1:8" x14ac:dyDescent="0.35">
      <c r="A20" s="46"/>
      <c r="B20" s="57" t="s">
        <v>160</v>
      </c>
      <c r="C20" s="57"/>
      <c r="D20" s="2"/>
      <c r="E20" s="56"/>
      <c r="F20" s="46"/>
      <c r="G20" s="46"/>
      <c r="H20" s="46"/>
    </row>
    <row r="21" spans="1:8" x14ac:dyDescent="0.35">
      <c r="A21" s="46"/>
      <c r="B21" s="13" t="s">
        <v>140</v>
      </c>
      <c r="C21" s="58">
        <f>G6</f>
        <v>26400.888217880001</v>
      </c>
      <c r="D21" s="2" t="s">
        <v>161</v>
      </c>
      <c r="E21" s="19"/>
      <c r="F21" s="2"/>
      <c r="G21" s="2"/>
      <c r="H21" s="46"/>
    </row>
    <row r="22" spans="1:8" x14ac:dyDescent="0.35">
      <c r="A22" s="46"/>
      <c r="B22" s="13" t="s">
        <v>147</v>
      </c>
      <c r="C22" s="58">
        <f>G14</f>
        <v>284746.75344766735</v>
      </c>
      <c r="D22" s="2" t="s">
        <v>161</v>
      </c>
      <c r="E22" s="19"/>
      <c r="F22" s="2"/>
      <c r="G22" s="2"/>
      <c r="H22" s="46"/>
    </row>
    <row r="23" spans="1:8" x14ac:dyDescent="0.35">
      <c r="A23" s="46"/>
      <c r="B23" s="57" t="s">
        <v>162</v>
      </c>
      <c r="C23" s="59">
        <f>C21+C22</f>
        <v>311147.64166554733</v>
      </c>
      <c r="D23" s="2" t="s">
        <v>161</v>
      </c>
      <c r="E23" s="19"/>
      <c r="F23" s="2"/>
      <c r="G23" s="2"/>
      <c r="H23" s="46"/>
    </row>
    <row r="24" spans="1:8" x14ac:dyDescent="0.35">
      <c r="A24" s="46"/>
      <c r="B24" s="47"/>
      <c r="C24" s="47"/>
      <c r="D24" s="46"/>
      <c r="E24" s="60">
        <v>0.1</v>
      </c>
      <c r="F24" s="2" t="s">
        <v>163</v>
      </c>
      <c r="G24" s="2"/>
      <c r="H24" s="46"/>
    </row>
    <row r="25" spans="1:8" x14ac:dyDescent="0.35">
      <c r="A25" s="46" t="s">
        <v>164</v>
      </c>
      <c r="B25" s="47" t="s">
        <v>165</v>
      </c>
      <c r="C25" s="47"/>
      <c r="D25" s="46"/>
      <c r="E25" s="56"/>
      <c r="F25" s="46"/>
      <c r="G25" s="53">
        <f>C23*E24</f>
        <v>31114.764166554734</v>
      </c>
      <c r="H25" s="54" t="s">
        <v>166</v>
      </c>
    </row>
    <row r="26" spans="1:8" ht="29" x14ac:dyDescent="0.35">
      <c r="A26" s="46"/>
      <c r="B26" s="13" t="s">
        <v>167</v>
      </c>
      <c r="C26" s="61">
        <f>'[1]General Company Info'!C27</f>
        <v>45000000</v>
      </c>
      <c r="D26" s="2" t="s">
        <v>40</v>
      </c>
      <c r="E26" s="49" t="s">
        <v>168</v>
      </c>
      <c r="F26" s="50" t="s">
        <v>144</v>
      </c>
      <c r="G26" s="50" t="s">
        <v>145</v>
      </c>
      <c r="H26" s="46"/>
    </row>
    <row r="27" spans="1:8" x14ac:dyDescent="0.35">
      <c r="A27" s="46"/>
      <c r="B27" s="13" t="s">
        <v>169</v>
      </c>
      <c r="C27" s="61">
        <f>'[1]General Company Info'!C28</f>
        <v>2830000</v>
      </c>
      <c r="D27" s="2" t="s">
        <v>40</v>
      </c>
      <c r="E27" s="62">
        <f>'[1]General Company Info'!E27</f>
        <v>0.16394666666666666</v>
      </c>
      <c r="F27" s="51">
        <f>E27*C26</f>
        <v>7377600</v>
      </c>
      <c r="G27" s="51">
        <f t="shared" ref="G27:G28" si="3">F27/1000</f>
        <v>7377.6</v>
      </c>
      <c r="H27" s="46"/>
    </row>
    <row r="28" spans="1:8" x14ac:dyDescent="0.35">
      <c r="A28" s="46"/>
      <c r="B28" s="47"/>
      <c r="C28" s="47"/>
      <c r="D28" s="46"/>
      <c r="E28" s="62">
        <f>'[1]General Company Info'!E28</f>
        <v>0.30798586572438164</v>
      </c>
      <c r="F28" s="51">
        <f>E28*C27</f>
        <v>871600</v>
      </c>
      <c r="G28" s="51">
        <f t="shared" si="3"/>
        <v>871.6</v>
      </c>
      <c r="H28" s="46"/>
    </row>
    <row r="29" spans="1:8" x14ac:dyDescent="0.35">
      <c r="A29" s="46" t="s">
        <v>170</v>
      </c>
      <c r="B29" s="47" t="s">
        <v>171</v>
      </c>
      <c r="C29" s="56" t="s">
        <v>57</v>
      </c>
      <c r="D29" s="55"/>
      <c r="E29" s="56"/>
      <c r="F29" s="46"/>
      <c r="G29" s="53">
        <f>G27+G28</f>
        <v>8249.2000000000007</v>
      </c>
      <c r="H29" s="54" t="s">
        <v>172</v>
      </c>
    </row>
    <row r="30" spans="1:8" ht="29" x14ac:dyDescent="0.35">
      <c r="A30" s="46"/>
      <c r="B30" s="13" t="s">
        <v>59</v>
      </c>
      <c r="C30" s="48">
        <f>'[1]General Company Info'!C40</f>
        <v>1750000</v>
      </c>
      <c r="D30" s="13" t="s">
        <v>60</v>
      </c>
      <c r="E30" s="49" t="s">
        <v>173</v>
      </c>
      <c r="F30" s="50"/>
      <c r="G30" s="50" t="s">
        <v>145</v>
      </c>
      <c r="H30" s="46"/>
    </row>
    <row r="31" spans="1:8" x14ac:dyDescent="0.35">
      <c r="A31" s="46"/>
      <c r="B31" s="13" t="s">
        <v>62</v>
      </c>
      <c r="C31" s="48">
        <f>'[1]General Company Info'!C41</f>
        <v>1050000</v>
      </c>
      <c r="D31" s="13" t="s">
        <v>60</v>
      </c>
      <c r="E31" s="5">
        <f>'[1]General Company Info'!E40</f>
        <v>0.35299999999999998</v>
      </c>
      <c r="G31" s="51">
        <f>E31*C30</f>
        <v>617750</v>
      </c>
      <c r="H31" s="46"/>
    </row>
    <row r="32" spans="1:8" x14ac:dyDescent="0.35">
      <c r="A32" s="46"/>
      <c r="B32" s="13" t="s">
        <v>63</v>
      </c>
      <c r="C32" s="48">
        <f>'[1]General Company Info'!C42</f>
        <v>650000</v>
      </c>
      <c r="D32" s="13" t="s">
        <v>60</v>
      </c>
      <c r="E32" s="5">
        <f>'[1]General Company Info'!E41</f>
        <v>0.28289999999999998</v>
      </c>
      <c r="F32" s="51"/>
      <c r="G32" s="51">
        <f>E32*C31</f>
        <v>297045</v>
      </c>
      <c r="H32" s="46"/>
    </row>
    <row r="33" spans="1:8" x14ac:dyDescent="0.35">
      <c r="A33" s="46"/>
      <c r="B33" s="13" t="s">
        <v>174</v>
      </c>
      <c r="C33" s="48">
        <f>'[1]General Company Info'!C43</f>
        <v>250000</v>
      </c>
      <c r="D33" s="13" t="s">
        <v>60</v>
      </c>
      <c r="E33" s="5">
        <f>'[1]General Company Info'!E42</f>
        <v>0.504</v>
      </c>
      <c r="F33" s="51"/>
      <c r="G33" s="51">
        <f>E33*C32</f>
        <v>327600</v>
      </c>
      <c r="H33" s="46"/>
    </row>
    <row r="34" spans="1:8" x14ac:dyDescent="0.35">
      <c r="A34" s="55"/>
      <c r="B34" s="55"/>
      <c r="C34" s="55"/>
      <c r="D34" s="55"/>
      <c r="E34" s="5">
        <f>'[1]General Company Info'!E43</f>
        <v>2.8279999999999998</v>
      </c>
      <c r="F34" s="51"/>
      <c r="G34" s="51">
        <f>E34*C33</f>
        <v>707000</v>
      </c>
      <c r="H34" s="46"/>
    </row>
    <row r="35" spans="1:8" x14ac:dyDescent="0.35">
      <c r="E35" s="55"/>
      <c r="F35" s="55"/>
      <c r="G35" s="53">
        <f>SUM(G31:G34)</f>
        <v>1949395</v>
      </c>
      <c r="H35" s="54" t="s">
        <v>175</v>
      </c>
    </row>
    <row r="36" spans="1:8" x14ac:dyDescent="0.35">
      <c r="B36" s="13" t="s">
        <v>176</v>
      </c>
    </row>
  </sheetData>
  <mergeCells count="2">
    <mergeCell ref="B2:C2"/>
    <mergeCell ref="B6:C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FD45-63EB-4C94-8FA9-07244FB233F4}">
  <dimension ref="A1:C9"/>
  <sheetViews>
    <sheetView tabSelected="1" workbookViewId="0">
      <selection activeCell="F8" sqref="F8"/>
    </sheetView>
  </sheetViews>
  <sheetFormatPr defaultRowHeight="14.5" x14ac:dyDescent="0.35"/>
  <cols>
    <col min="1" max="1" width="36.1796875" bestFit="1" customWidth="1"/>
    <col min="2" max="2" width="20.453125" bestFit="1" customWidth="1"/>
    <col min="3" max="3" width="14.7265625" bestFit="1" customWidth="1"/>
  </cols>
  <sheetData>
    <row r="1" spans="1:3" x14ac:dyDescent="0.35">
      <c r="A1" s="72" t="s">
        <v>177</v>
      </c>
      <c r="B1" s="72" t="s">
        <v>177</v>
      </c>
      <c r="C1" s="72" t="s">
        <v>177</v>
      </c>
    </row>
    <row r="2" spans="1:3" x14ac:dyDescent="0.35">
      <c r="A2" s="2" t="s">
        <v>178</v>
      </c>
      <c r="B2" s="68">
        <f>SUM(B5:B8)</f>
        <v>3398978.9641665546</v>
      </c>
      <c r="C2" s="69">
        <f>+B2/B9</f>
        <v>0.916135573061997</v>
      </c>
    </row>
    <row r="3" spans="1:3" x14ac:dyDescent="0.35">
      <c r="A3" s="2" t="s">
        <v>140</v>
      </c>
      <c r="B3" s="68">
        <f>'GHG Calc'!G6</f>
        <v>26400.888217880001</v>
      </c>
      <c r="C3" s="69">
        <f>+B3/$B$9</f>
        <v>7.1158995427216291E-3</v>
      </c>
    </row>
    <row r="4" spans="1:3" x14ac:dyDescent="0.35">
      <c r="A4" s="2" t="s">
        <v>147</v>
      </c>
      <c r="B4" s="68">
        <f>'GHG Calc'!G14</f>
        <v>284746.75344766735</v>
      </c>
      <c r="C4" s="69">
        <f t="shared" ref="C4:C8" si="0">+B4/$B$9</f>
        <v>7.6748527395281374E-2</v>
      </c>
    </row>
    <row r="5" spans="1:3" x14ac:dyDescent="0.35">
      <c r="A5" s="2" t="s">
        <v>179</v>
      </c>
      <c r="B5" s="70">
        <f>'GHG Calc'!G19</f>
        <v>1410220</v>
      </c>
      <c r="C5" s="69">
        <f t="shared" si="0"/>
        <v>0.38010023641328483</v>
      </c>
    </row>
    <row r="6" spans="1:3" x14ac:dyDescent="0.35">
      <c r="A6" s="2" t="s">
        <v>180</v>
      </c>
      <c r="B6" s="70">
        <f>'GHG Calc'!G25</f>
        <v>31114.764166554734</v>
      </c>
      <c r="C6" s="69">
        <f t="shared" si="0"/>
        <v>8.3864426938002994E-3</v>
      </c>
    </row>
    <row r="7" spans="1:3" x14ac:dyDescent="0.35">
      <c r="A7" s="2" t="s">
        <v>181</v>
      </c>
      <c r="B7" s="70">
        <f>'GHG Calc'!G29</f>
        <v>8249.2000000000007</v>
      </c>
      <c r="C7" s="69">
        <f t="shared" si="0"/>
        <v>2.2234281673926548E-3</v>
      </c>
    </row>
    <row r="8" spans="1:3" x14ac:dyDescent="0.35">
      <c r="A8" s="2" t="s">
        <v>182</v>
      </c>
      <c r="B8" s="70">
        <f>'GHG Calc'!G35</f>
        <v>1949395</v>
      </c>
      <c r="C8" s="69">
        <f t="shared" si="0"/>
        <v>0.52542546578751925</v>
      </c>
    </row>
    <row r="9" spans="1:3" x14ac:dyDescent="0.35">
      <c r="A9" s="19" t="s">
        <v>183</v>
      </c>
      <c r="B9" s="71">
        <f>SUM(B3:B8)</f>
        <v>3710126.6058321018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Company Info</vt:lpstr>
      <vt:lpstr>Scope 1 &amp; 2 GHG Factors</vt:lpstr>
      <vt:lpstr>GHG Calc</vt:lpstr>
      <vt:lpstr>Overall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Devangna Jadeja</dc:creator>
  <cp:lastModifiedBy>Devangna Jadeja</cp:lastModifiedBy>
  <dcterms:created xsi:type="dcterms:W3CDTF">2026-03-20T20:57:52Z</dcterms:created>
  <dcterms:modified xsi:type="dcterms:W3CDTF">2026-03-20T21:22:30Z</dcterms:modified>
</cp:coreProperties>
</file>